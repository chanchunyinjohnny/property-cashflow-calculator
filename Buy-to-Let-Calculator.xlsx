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90c7e156140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計算機" sheetId="1" r:id="R9e496d86157f4e37"/>
    <x:sheet xmlns:r="http://schemas.openxmlformats.org/officeDocument/2006/relationships" name="進階假設" sheetId="2" r:id="Redaac62529e94883"/>
    <x:sheet xmlns:r="http://schemas.openxmlformats.org/officeDocument/2006/relationships" name="年度明細" sheetId="3" r:id="Rbfcafc5960ac412d"/>
    <x:sheet xmlns:r="http://schemas.openxmlformats.org/officeDocument/2006/relationships" name="來源與稅表" sheetId="4" r:id="R2164fa9540e34c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–&quot;"/>
    <x:numFmt numFmtId="201" formatCode="0.00%;(0.00%);&quot;–&quot;"/>
    <x:numFmt numFmtId="202" formatCode="#,##0.00;(#,##0.00);&quot;–&quot;"/>
    <x:numFmt numFmtId="203" formatCode="0.00"/>
  </x:numFmts>
  <x:fonts count="17">
    <x:font>
      <x:sz val="11"/>
      <x:name val="Carlito"/>
    </x:font>
    <x:font>
      <x:sz val="11"/>
      <x:color rgb="FF20242B"/>
      <x:name val="Arial"/>
    </x:font>
    <x:font>
      <x:b/>
      <x:sz val="18"/>
      <x:color rgb="FF20242B"/>
      <x:name val="Arial"/>
    </x:font>
    <x:font>
      <x:i/>
      <x:sz val="10"/>
      <x:color rgb="FF667085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sz val="11"/>
      <x:color rgb="FF008000"/>
      <x:name val="Arial"/>
    </x:font>
    <x:font>
      <x:sz val="10"/>
      <x:color rgb="FF008000"/>
      <x:name val="Arial"/>
    </x:font>
    <x:font>
      <x:sz val="10"/>
      <x:color rgb="FF20242B"/>
      <x:name val="Arial"/>
    </x:font>
    <x:font>
      <x:sz val="10"/>
      <x:color rgb="FF965A00"/>
      <x:name val="Arial"/>
    </x:font>
    <x:font>
      <x:b/>
      <x:sz val="11"/>
      <x:color rgb="FF20242B"/>
      <x:name val="Arial"/>
    </x:font>
    <x:font>
      <x:sz val="10"/>
      <x:color rgb="FF667085"/>
      <x:name val="Arial"/>
    </x:font>
    <x:font>
      <x:sz val="11"/>
      <x:color rgb="FF000000"/>
      <x:name val="Arial"/>
    </x:font>
    <x:font>
      <x:b/>
      <x:sz val="11"/>
      <x:color rgb="FF008000"/>
      <x:name val="Arial"/>
    </x:font>
    <x:font>
      <x:b/>
      <x:sz val="11"/>
      <x:color rgb="FF000000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53B53"/>
      </x:patternFill>
    </x:fill>
    <x:fill>
      <x:patternFill patternType="solid">
        <x:fgColor rgb="FFFFF2CC"/>
      </x:patternFill>
    </x:fill>
    <x:fill>
      <x:patternFill patternType="solid">
        <x:fgColor rgb="FFEEF3F9"/>
      </x:patternFill>
    </x:fill>
  </x:fills>
  <x:borders count="3">
    <x:border/>
    <x:border>
      <x:bottom style="thin">
        <x:color rgb="FFD9DFE7"/>
      </x:bottom>
    </x:border>
    <x:border>
      <x:top style="thin">
        <x:color rgb="FFD9DFE7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0" fontId="6" fillId="3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200" fontId="5" fillId="2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1" fillId="4" borderId="0" xfId="0" applyNumberFormat="1" applyFont="1" applyFill="1" applyBorder="1" applyAlignment="1">
      <x:alignment vertical="center"/>
    </x:xf>
    <x:xf numFmtId="200" fontId="1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1" fillId="4" borderId="0" xfId="0" applyNumberFormat="1" applyFont="1" applyFill="1" applyBorder="1" applyAlignment="1">
      <x:alignment vertical="center"/>
    </x:xf>
    <x:xf numFmtId="0" fontId="11" fillId="4" borderId="2" xfId="0" applyNumberFormat="1" applyFont="1" applyFill="1" applyBorder="1" applyAlignment="1">
      <x:alignment vertical="center"/>
    </x:xf>
    <x:xf numFmtId="200" fontId="11" fillId="4" borderId="2" xfId="0" applyNumberFormat="1" applyFont="1" applyFill="1" applyBorder="1" applyAlignment="1">
      <x:alignment vertical="center"/>
    </x:xf>
    <x:xf numFmtId="201" fontId="11" fillId="4" borderId="2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13" fillId="0" borderId="0" xfId="0" applyNumberFormat="1" applyFont="1" applyFill="1" applyBorder="1" applyAlignment="1">
      <x:alignment vertical="center"/>
    </x:xf>
    <x:xf numFmtId="201" fontId="6" fillId="3" borderId="0" xfId="0" applyNumberFormat="1" applyFont="1" applyFill="1" applyBorder="1" applyAlignment="1">
      <x:alignment vertical="center"/>
    </x:xf>
    <x:xf numFmtId="201" fontId="13" fillId="0" borderId="0" xfId="0" applyNumberFormat="1" applyFont="1" applyFill="1" applyBorder="1" applyAlignment="1">
      <x:alignment vertical="center"/>
    </x:xf>
    <x:xf numFmtId="203" fontId="6" fillId="3" borderId="0" xfId="0" applyNumberFormat="1" applyFont="1" applyFill="1" applyBorder="1" applyAlignment="1">
      <x:alignment vertical="center"/>
    </x:xf>
    <x:xf numFmtId="203" fontId="13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2" fontId="1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7" fillId="4" borderId="0" xfId="0" applyNumberFormat="1" applyFont="1" applyFill="1" applyBorder="1" applyAlignment="1">
      <x:alignment vertical="center"/>
    </x:xf>
    <x:xf numFmtId="200" fontId="14" fillId="4" borderId="0" xfId="0" applyNumberFormat="1" applyFont="1" applyFill="1" applyBorder="1" applyAlignment="1">
      <x:alignment vertical="center"/>
    </x:xf>
    <x:xf numFmtId="200" fontId="14" fillId="4" borderId="2" xfId="0" applyNumberFormat="1" applyFont="1" applyFill="1" applyBorder="1" applyAlignment="1">
      <x:alignment vertical="center"/>
    </x:xf>
    <x:xf numFmtId="200" fontId="13" fillId="4" borderId="0" xfId="0" applyNumberFormat="1" applyFont="1" applyFill="1" applyBorder="1" applyAlignment="1">
      <x:alignment vertical="center"/>
    </x:xf>
    <x:xf numFmtId="200" fontId="15" fillId="4" borderId="0" xfId="0" applyNumberFormat="1" applyFont="1" applyFill="1" applyBorder="1" applyAlignment="1">
      <x:alignment vertical="center"/>
    </x:xf>
    <x:xf numFmtId="200" fontId="15" fillId="4" borderId="2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1" fontId="14" fillId="4" borderId="2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 wrapText="1"/>
    </x:xf>
    <x:xf numFmtId="200" fontId="16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98"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ont>
        <x:color rgb="FF9E2424"/>
      </x:font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8DFDF"/>
        </x:patternFill>
      </x:fill>
    </x:dxf>
    <x:dxf>
      <x:fill>
        <x:patternFill patternType="solid">
          <x:bgColor rgb="FFFCEB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38480d579845fb" /><Relationship Type="http://schemas.openxmlformats.org/officeDocument/2006/relationships/theme" Target="/xl/theme/theme1.xml" Id="R06a6838bdb1144d8" /><Relationship Type="http://schemas.openxmlformats.org/officeDocument/2006/relationships/sharedStrings" Target="/xl/sharedStrings.xml" Id="Rec91b8ee95984bcd" /><Relationship Type="http://schemas.openxmlformats.org/officeDocument/2006/relationships/worksheet" Target="/xl/worksheets/sheet1.xml" Id="R9e496d86157f4e37" /><Relationship Type="http://schemas.openxmlformats.org/officeDocument/2006/relationships/worksheet" Target="/xl/worksheets/sheet2.xml" Id="Redaac62529e94883" /><Relationship Type="http://schemas.openxmlformats.org/officeDocument/2006/relationships/worksheet" Target="/xl/worksheets/sheet3.xml" Id="Rbfcafc5960ac412d" /><Relationship Type="http://schemas.openxmlformats.org/officeDocument/2006/relationships/worksheet" Target="/xl/worksheets/sheet4.xml" Id="R2164fa9540e34c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6" hidden="0" customWidth="1"/>
    <x:col min="3" max="3" width="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2" customHeight="1">
      <x:c r="A2" s="2"/>
      <x:c r="B2" s="5" t="str">
        <x:v>收租樓現金流與 IRR</x:v>
      </x:c>
      <x:c r="C2" s="6"/>
      <x:c r="D2" s="6"/>
      <x:c r="E2" s="6"/>
      <x:c r="F2" s="6"/>
      <x:c r="G2" s="6"/>
      <x:c r="H2" s="6"/>
      <x:c r="I2" s="6"/>
    </x:row>
    <x:row r="3" ht="23" customHeight="1">
      <x:c r="A3" s="2"/>
      <x:c r="B3" s="7" t="str">
        <x:v>金額：港元。先改三項輸入，即可比較 3、5、10 年。其他預算及假設可在「進階假設」修改。</x:v>
      </x:c>
      <x:c r="C3" s="2"/>
      <x:c r="D3" s="2"/>
      <x:c r="E3" s="2"/>
      <x:c r="F3" s="2"/>
      <x:c r="G3" s="2"/>
      <x:c r="H3" s="2"/>
      <x:c r="I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24" customHeight="1">
      <x:c r="A5" s="2"/>
      <x:c r="B5" s="10" t="str">
        <x:v>主要輸入</x:v>
      </x:c>
      <x:c r="C5" s="10"/>
      <x:c r="D5" s="10"/>
      <x:c r="E5" s="10"/>
      <x:c r="F5" s="10"/>
      <x:c r="G5" s="10"/>
      <x:c r="H5" s="10"/>
      <x:c r="I5" s="10"/>
    </x:row>
    <x:row r="6" ht="23" customHeight="1">
      <x:c r="A6" s="2"/>
      <x:c r="B6" s="2"/>
      <x:c r="C6" s="2"/>
      <x:c r="D6" s="3"/>
      <x:c r="E6" s="3"/>
      <x:c r="F6" s="3"/>
      <x:c r="G6" s="3"/>
      <x:c r="H6" s="3"/>
      <x:c r="I6" s="3"/>
    </x:row>
    <x:row r="7" ht="23" customHeight="1">
      <x:c r="A7" s="2"/>
      <x:c r="B7" s="2" t="str">
        <x:v>買入樓價</x:v>
      </x:c>
      <x:c r="C7" s="2"/>
      <x:c r="D7" s="12" t="n">
        <x:v>4000000</x:v>
      </x:c>
      <x:c r="E7" s="3" t="str">
        <x:v>樓價，不含稅款、費用及裝修。</x:v>
      </x:c>
      <x:c r="F7" s="3"/>
      <x:c r="G7" s="3"/>
      <x:c r="H7" s="3"/>
      <x:c r="I7" s="3"/>
    </x:row>
    <x:row r="8" ht="23" customHeight="1">
      <x:c r="A8" s="2"/>
      <x:c r="B8" s="2" t="str">
        <x:v>每月租金</x:v>
      </x:c>
      <x:c r="C8" s="2"/>
      <x:c r="D8" s="12" t="n">
        <x:v>17000</x:v>
      </x:c>
      <x:c r="E8" s="3" t="str">
        <x:v>預計合約月租；須用實際單位租金核對。</x:v>
      </x:c>
      <x:c r="F8" s="3"/>
      <x:c r="G8" s="3"/>
      <x:c r="H8" s="3"/>
      <x:c r="I8" s="3"/>
    </x:row>
    <x:row r="9" ht="23" customHeight="1">
      <x:c r="A9" s="2"/>
      <x:c r="B9" s="2" t="str">
        <x:v>初始裝修預算</x:v>
      </x:c>
      <x:c r="C9" s="2"/>
      <x:c r="D9" s="12" t="n">
        <x:v>300000</x:v>
      </x:c>
      <x:c r="E9" s="3" t="str">
        <x:v>買入時一次投入；尚未有工程報價。</x:v>
      </x:c>
      <x:c r="F9" s="3"/>
      <x:c r="G9" s="3"/>
      <x:c r="H9" s="3"/>
      <x:c r="I9" s="3"/>
    </x:row>
    <x:row r="10" ht="23" customHeight="1">
      <x:c r="A10" s="2"/>
      <x:c r="B10" s="17" t="str">
        <x:f>IF(OR(AND('進階假設'!D28=0,SUM('進階假設'!D65:D74)=0),AND('進階假設'!F28=0,SUM('進階假設'!F65:F74)=0)),"大修未估：至少一方案未列大修／工程支出；0 並非風險為零。","已列大修／工程支出，請核對與其他維修及管理費有否重複。")</x:f>
        <x:v>大修未估：至少一方案未列大修／工程支出；0 並非風險為零。</x:v>
      </x:c>
      <x:c r="C10" s="17"/>
      <x:c r="D10" s="18"/>
      <x:c r="E10" s="18"/>
      <x:c r="F10" s="18"/>
      <x:c r="G10" s="18"/>
      <x:c r="H10" s="18"/>
      <x:c r="I10" s="18"/>
    </x:row>
    <x:row r="11" ht="24" customHeight="1">
      <x:c r="A11" s="2"/>
      <x:c r="B11" s="10" t="str">
        <x:v>不同持有期的結果</x:v>
      </x:c>
      <x:c r="C11" s="10"/>
      <x:c r="D11" s="21"/>
      <x:c r="E11" s="21"/>
      <x:c r="F11" s="21"/>
      <x:c r="G11" s="21"/>
      <x:c r="H11" s="21"/>
      <x:c r="I11" s="21"/>
    </x:row>
    <x:row r="12" ht="23" customHeight="1">
      <x:c r="A12" s="2"/>
      <x:c r="B12" s="2" t="str">
        <x:v>按揭方案／全現金比較</x:v>
      </x:c>
      <x:c r="C12" s="2"/>
      <x:c r="D12" s="24" t="str">
        <x:v>A · 3 年</x:v>
      </x:c>
      <x:c r="E12" s="24" t="str">
        <x:v>A · 5 年</x:v>
      </x:c>
      <x:c r="F12" s="24" t="str">
        <x:v>A · 10 年</x:v>
      </x:c>
      <x:c r="G12" s="24" t="str">
        <x:v>B · 3 年</x:v>
      </x:c>
      <x:c r="H12" s="24" t="str">
        <x:v>B · 5 年</x:v>
      </x:c>
      <x:c r="I12" s="24" t="str">
        <x:v>B · 10 年</x:v>
      </x:c>
    </x:row>
    <x:row r="13" ht="23" customHeight="1">
      <x:c r="A13" s="2"/>
      <x:c r="B13" s="27" t="str">
        <x:v>按揭初始自有資金</x:v>
      </x:c>
      <x:c r="C13" s="27"/>
      <x:c r="D13" s="46" t="n">
        <x:f>IF('進階假設'!$D$40=1,'進階假設'!$D$50,"請修正輸入")</x:f>
        <x:v>1555100</x:v>
      </x:c>
      <x:c r="E13" s="46" t="n">
        <x:f>IF('進階假設'!$D$40=1,'進階假設'!$D$50,"請修正輸入")</x:f>
        <x:v>1555100</x:v>
      </x:c>
      <x:c r="F13" s="46" t="n">
        <x:f>IF('進階假設'!$D$40=1,'進階假設'!$D$50,"請修正輸入")</x:f>
        <x:v>1555100</x:v>
      </x:c>
      <x:c r="G13" s="46" t="n">
        <x:f>IF('進階假設'!$F$40=1,'進階假設'!$F$50,"請修正輸入")</x:f>
        <x:v>1555100</x:v>
      </x:c>
      <x:c r="H13" s="46" t="n">
        <x:f>IF('進階假設'!$F$40=1,'進階假設'!$F$50,"請修正輸入")</x:f>
        <x:v>1555100</x:v>
      </x:c>
      <x:c r="I13" s="46" t="n">
        <x:f>IF('進階假設'!$F$40=1,'進階假設'!$F$50,"請修正輸入")</x:f>
        <x:v>1555100</x:v>
      </x:c>
    </x:row>
    <x:row r="14" ht="23" customHeight="1">
      <x:c r="A14" s="2"/>
      <x:c r="B14" s="2" t="str">
        <x:v>每月按揭供款</x:v>
      </x:c>
      <x:c r="C14" s="2"/>
      <x:c r="D14" s="51" t="n">
        <x:f>IF('進階假設'!$D$40=1,'進階假設'!$D$44,"請修正輸入")</x:f>
        <x:v>15528.732739909537</x:v>
      </x:c>
      <x:c r="E14" s="51" t="n">
        <x:f>IF('進階假設'!$D$40=1,'進階假設'!$D$44,"請修正輸入")</x:f>
        <x:v>15528.732739909537</x:v>
      </x:c>
      <x:c r="F14" s="51" t="n">
        <x:f>IF('進階假設'!$D$40=1,'進階假設'!$D$44,"請修正輸入")</x:f>
        <x:v>15528.732739909537</x:v>
      </x:c>
      <x:c r="G14" s="51" t="n">
        <x:f>IF('進階假設'!$F$40=1,'進階假設'!$F$44,"請修正輸入")</x:f>
        <x:v>15528.732739909537</x:v>
      </x:c>
      <x:c r="H14" s="51" t="n">
        <x:f>IF('進階假設'!$F$40=1,'進階假設'!$F$44,"請修正輸入")</x:f>
        <x:v>15528.732739909537</x:v>
      </x:c>
      <x:c r="I14" s="51" t="n">
        <x:f>IF('進階假設'!$F$40=1,'進階假設'!$F$44,"請修正輸入")</x:f>
        <x:v>15528.732739909537</x:v>
      </x:c>
    </x:row>
    <x:row r="15" ht="23" customHeight="1">
      <x:c r="A15" s="2"/>
      <x:c r="B15" s="27" t="str">
        <x:v>首年平均每月需補貼</x:v>
      </x:c>
      <x:c r="C15" s="27"/>
      <x:c r="D15" s="46" t="n">
        <x:f>IF('進階假設'!$D$40=1,MAX(0,-'年度明細'!D30/12),"請修正輸入")</x:f>
        <x:v>8192.774406576204</x:v>
      </x:c>
      <x:c r="E15" s="46" t="n">
        <x:f>IF('進階假設'!$D$40=1,MAX(0,-'年度明細'!D30/12),"請修正輸入")</x:f>
        <x:v>8192.774406576204</x:v>
      </x:c>
      <x:c r="F15" s="46" t="n">
        <x:f>IF('進階假設'!$D$40=1,MAX(0,-'年度明細'!D30/12),"請修正輸入")</x:f>
        <x:v>8192.774406576204</x:v>
      </x:c>
      <x:c r="G15" s="46" t="n">
        <x:f>IF('進階假設'!$F$40=1,MAX(0,-'年度明細'!D112/12),"請修正輸入")</x:f>
        <x:v>8192.774406576204</x:v>
      </x:c>
      <x:c r="H15" s="46" t="n">
        <x:f>IF('進階假設'!$F$40=1,MAX(0,-'年度明細'!D112/12),"請修正輸入")</x:f>
        <x:v>8192.774406576204</x:v>
      </x:c>
      <x:c r="I15" s="46" t="n">
        <x:f>IF('進階假設'!$F$40=1,MAX(0,-'年度明細'!D112/12),"請修正輸入")</x:f>
        <x:v>8192.774406576204</x:v>
      </x:c>
    </x:row>
    <x:row r="16" ht="23" customHeight="1">
      <x:c r="A16" s="2"/>
      <x:c r="B16" s="2" t="str">
        <x:v>預計出售樓價</x:v>
      </x:c>
      <x:c r="C16" s="2"/>
      <x:c r="D16" s="34" t="n">
        <x:f>IF('進階假設'!$D$40=1,'年度明細'!F31,"請修正輸入")</x:f>
        <x:v>4000000</x:v>
      </x:c>
      <x:c r="E16" s="34" t="n">
        <x:f>IF('進階假設'!$D$40=1,'年度明細'!H31,"請修正輸入")</x:f>
        <x:v>4000000</x:v>
      </x:c>
      <x:c r="F16" s="34" t="n">
        <x:f>IF('進階假設'!$D$40=1,'年度明細'!M31,"請修正輸入")</x:f>
        <x:v>4000000</x:v>
      </x:c>
      <x:c r="G16" s="34" t="n">
        <x:f>IF('進階假設'!$F$40=1,'年度明細'!F113,"請修正輸入")</x:f>
        <x:v>4462402.486919311</x:v>
      </x:c>
      <x:c r="H16" s="34" t="n">
        <x:f>IF('進階假設'!$F$40=1,'年度明細'!H113,"請修正輸入")</x:f>
        <x:v>4800000.000000002</x:v>
      </x:c>
      <x:c r="I16" s="34" t="n">
        <x:f>IF('進階假設'!$F$40=1,'年度明細'!M113,"請修正輸入")</x:f>
        <x:v>5760000.000000005</x:v>
      </x:c>
    </x:row>
    <x:row r="17" ht="23" customHeight="1">
      <x:c r="A17" s="2"/>
      <x:c r="B17" s="2" t="str">
        <x:v>出售時剩餘按揭</x:v>
      </x:c>
      <x:c r="C17" s="2"/>
      <x:c r="D17" s="34" t="n">
        <x:f>IF('進階假設'!$D$40=1,'年度明細'!F26,"請修正輸入")</x:f>
        <x:v>2479144.2955976077</x:v>
      </x:c>
      <x:c r="E17" s="34" t="n">
        <x:f>IF('進階假設'!$D$40=1,'年度明細'!H26,"請修正輸入")</x:f>
        <x:v>2248645.4655322526</x:v>
      </x:c>
      <x:c r="F17" s="34" t="n">
        <x:f>IF('進階假設'!$D$40=1,'年度明細'!M26,"請修正輸入")</x:f>
        <x:v>1608182.7857079736</x:v>
      </x:c>
      <x:c r="G17" s="34" t="n">
        <x:f>IF('進階假設'!$F$40=1,'年度明細'!F108,"請修正輸入")</x:f>
        <x:v>2479144.2955976077</x:v>
      </x:c>
      <x:c r="H17" s="34" t="n">
        <x:f>IF('進階假設'!$F$40=1,'年度明細'!H108,"請修正輸入")</x:f>
        <x:v>2248645.4655322526</x:v>
      </x:c>
      <x:c r="I17" s="34" t="n">
        <x:f>IF('進階假設'!$F$40=1,'年度明細'!M108,"請修正輸入")</x:f>
        <x:v>1608182.7857079736</x:v>
      </x:c>
    </x:row>
    <x:row r="18" ht="23" customHeight="1">
      <x:c r="A18" s="2"/>
      <x:c r="B18" s="2" t="str">
        <x:v>出售後淨收款（按揭）</x:v>
      </x:c>
      <x:c r="C18" s="2"/>
      <x:c r="D18" s="34" t="n">
        <x:f>IF('進階假設'!$D$40=1,'年度明細'!F35,"請修正輸入")</x:f>
        <x:v>1465855.7044023923</x:v>
      </x:c>
      <x:c r="E18" s="34" t="n">
        <x:f>IF('進階假設'!$D$40=1,'年度明細'!H35,"請修正輸入")</x:f>
        <x:v>1696354.5344677474</x:v>
      </x:c>
      <x:c r="F18" s="34" t="n">
        <x:f>IF('進階假設'!$D$40=1,'年度明細'!M35,"請修正輸入")</x:f>
        <x:v>2336817.214292026</x:v>
      </x:c>
      <x:c r="G18" s="34" t="n">
        <x:f>IF('進階假設'!$F$40=1,'年度明細'!F117,"請修正輸入")</x:f>
        <x:v>1923634.1664525098</x:v>
      </x:c>
      <x:c r="H18" s="34" t="n">
        <x:f>IF('進階假設'!$F$40=1,'年度明細'!H117,"請修正輸入")</x:f>
        <x:v>2488354.5344677493</x:v>
      </x:c>
      <x:c r="I18" s="34" t="n">
        <x:f>IF('進階假設'!$F$40=1,'年度明細'!M117,"請修正輸入")</x:f>
        <x:v>4079217.214292031</x:v>
      </x:c>
    </x:row>
    <x:row r="19" ht="23" customHeight="1">
      <x:c r="A19" s="2"/>
      <x:c r="B19" s="27" t="str">
        <x:v>按揭：物業稅後 IRR</x:v>
      </x:c>
      <x:c r="C19" s="27"/>
      <x:c r="D19" s="52" t="n">
        <x:f>IF('進階假設'!$D$40=1,IF(SUMPRODUCT(--('年度明細'!C47:L47&lt;&gt;'年度明細'!D47:M47))=1,IFERROR(IRR('年度明細'!C43:F43),"無法求解"),"不適用"),"請修正輸入")</x:f>
        <x:v>-0.06851732762726967</x:v>
      </x:c>
      <x:c r="E19" s="52" t="n">
        <x:f>IF('進階假設'!$D$40=1,IF(SUMPRODUCT(--('年度明細'!C60:L60&lt;&gt;'年度明細'!D60:M60))=1,IFERROR(IRR('年度明細'!C56:H56),"無法求解"),"不適用"),"請修正輸入")</x:f>
        <x:v>-0.026166766558874892</x:v>
      </x:c>
      <x:c r="F19" s="52" t="n">
        <x:f>IF('進階假設'!$D$40=1,IF(SUMPRODUCT(--('年度明細'!C73:L73&lt;&gt;'年度明細'!D73:M73))=1,IFERROR(IRR('年度明細'!C69:M69),"無法求解"),"不適用"),"請修正輸入")</x:f>
        <x:v>0.005885084105313814</x:v>
      </x:c>
      <x:c r="G19" s="52" t="n">
        <x:f>IF('進階假設'!$F$40=1,IF(SUMPRODUCT(--('年度明細'!C129:L129&lt;&gt;'年度明細'!D129:M129))=1,IFERROR(IRR('年度明細'!C125:F125),"無法求解"),"不適用"),"請修正輸入")</x:f>
        <x:v>0.028169737341692355</x:v>
      </x:c>
      <x:c r="H19" s="52" t="n">
        <x:f>IF('進階假設'!$F$40=1,IF(SUMPRODUCT(--('年度明細'!C142:L142&lt;&gt;'年度明細'!D142:M142))=1,IFERROR(IRR('年度明細'!C138:H138),"無法求解"),"不適用"),"請修正輸入")</x:f>
        <x:v>0.06039773275302161</x:v>
      </x:c>
      <x:c r="I19" s="52" t="n">
        <x:f>IF('進階假設'!$F$40=1,IF(SUMPRODUCT(--('年度明細'!C155:L155&lt;&gt;'年度明細'!D155:M155))=1,IFERROR(IRR('年度明細'!C151:M151),"無法求解"),"不適用"),"請修正輸入")</x:f>
        <x:v>0.07239111888172128</x:v>
      </x:c>
    </x:row>
    <x:row r="20" ht="23" customHeight="1">
      <x:c r="A20" s="2"/>
      <x:c r="B20" s="27" t="str">
        <x:v>全現金：物業稅後 IRR</x:v>
      </x:c>
      <x:c r="C20" s="27"/>
      <x:c r="D20" s="52" t="n">
        <x:f>IF('進階假設'!$D$40=1,IF(SUMPRODUCT(--('年度明細'!C45:L45&lt;&gt;'年度明細'!D45:M45))=1,IFERROR(IRR('年度明細'!C41:F41),"無法求解"),"不適用"),"請修正輸入")</x:f>
        <x:v>-0.006082945286485489</x:v>
      </x:c>
      <x:c r="E20" s="52" t="n">
        <x:f>IF('進階假設'!$D$40=1,IF(SUMPRODUCT(--('年度明細'!C58:L58&lt;&gt;'年度明細'!D58:M58))=1,IFERROR(IRR('年度明細'!C54:H54),"無法求解"),"不適用"),"請修正輸入")</x:f>
        <x:v>0.007980433035761438</x:v>
      </x:c>
      <x:c r="F20" s="52" t="n">
        <x:f>IF('進階假設'!$D$40=1,IF(SUMPRODUCT(--('年度明細'!C71:L71&lt;&gt;'年度明細'!D71:M71))=1,IFERROR(IRR('年度明細'!C67:M67),"無法求解"),"不適用"),"請修正輸入")</x:f>
        <x:v>0.01871236747254141</x:v>
      </x:c>
      <x:c r="G20" s="52" t="n">
        <x:f>IF('進階假設'!$F$40=1,IF(SUMPRODUCT(--('年度明細'!C127:L127&lt;&gt;'年度明細'!D127:M127))=1,IFERROR(IRR('年度明細'!C123:F123),"無法求解"),"不適用"),"請修正輸入")</x:f>
        <x:v>0.028962991622459494</x:v>
      </x:c>
      <x:c r="H20" s="52" t="n">
        <x:f>IF('進階假設'!$F$40=1,IF(SUMPRODUCT(--('年度明細'!C140:L140&lt;&gt;'年度明細'!D140:M140))=1,IFERROR(IRR('年度明細'!C136:H136),"無法求解"),"不適用"),"請修正輸入")</x:f>
        <x:v>0.04252820972480843</x:v>
      </x:c>
      <x:c r="I20" s="52" t="n">
        <x:f>IF('進階假設'!$F$40=1,IF(SUMPRODUCT(--('年度明細'!C153:L153&lt;&gt;'年度明細'!D153:M153))=1,IFERROR(IRR('年度明細'!C149:M149),"無法求解"),"不適用"),"請修正輸入")</x:f>
        <x:v>0.05140328716169432</x:v>
      </x:c>
    </x:row>
    <x:row r="21" ht="23" customHeight="1">
      <x:c r="A21" s="2"/>
      <x:c r="B21" s="2" t="str">
        <x:v>按揭：物業稅前 IRR</x:v>
      </x:c>
      <x:c r="C21" s="2"/>
      <x:c r="D21" s="40" t="n">
        <x:f>IF('進階假設'!$D$40=1,IF(SUMPRODUCT(--('年度明細'!C46:L46&lt;&gt;'年度明細'!D46:M46))=1,IFERROR(IRR('年度明細'!C42:F42),"無法求解"),"不適用"),"請修正輸入")</x:f>
        <x:v>-0.055514973828446945</x:v>
      </x:c>
      <x:c r="E21" s="40" t="n">
        <x:f>IF('進階假設'!$D$40=1,IF(SUMPRODUCT(--('年度明細'!C59:L59&lt;&gt;'年度明細'!D59:M59))=1,IFERROR(IRR('年度明細'!C55:H55),"無法求解"),"不適用"),"請修正輸入")</x:f>
        <x:v>-0.013605210008656634</x:v>
      </x:c>
      <x:c r="F21" s="40" t="n">
        <x:f>IF('進階假設'!$D$40=1,IF(SUMPRODUCT(--('年度明細'!C72:L72&lt;&gt;'年度明細'!D72:M72))=1,IFERROR(IRR('年度明細'!C68:M68),"無法求解"),"不適用"),"請修正輸入")</x:f>
        <x:v>0.016772467220441935</x:v>
      </x:c>
      <x:c r="G21" s="40" t="n">
        <x:f>IF('進階假設'!$F$40=1,IF(SUMPRODUCT(--('年度明細'!C128:L128&lt;&gt;'年度明細'!D128:M128))=1,IFERROR(IRR('年度明細'!C124:F124),"無法求解"),"不適用"),"請修正輸入")</x:f>
        <x:v>0.039940625449264855</x:v>
      </x:c>
      <x:c r="H21" s="40" t="n">
        <x:f>IF('進階假設'!$F$40=1,IF(SUMPRODUCT(--('年度明細'!C141:L141&lt;&gt;'年度明細'!D141:M141))=1,IFERROR(IRR('年度明細'!C137:H137),"無法求解"),"不適用"),"請修正輸入")</x:f>
        <x:v>0.07110816221352678</x:v>
      </x:c>
      <x:c r="I21" s="40" t="n">
        <x:f>IF('進階假設'!$F$40=1,IF(SUMPRODUCT(--('年度明細'!C154:L154&lt;&gt;'年度明細'!D154:M154))=1,IFERROR(IRR('年度明細'!C150:M150),"無法求解"),"不適用"),"請修正輸入")</x:f>
        <x:v>0.08095613553604865</x:v>
      </x:c>
    </x:row>
    <x:row r="22" ht="23" customHeight="1">
      <x:c r="A22" s="2"/>
      <x:c r="B22" s="2" t="str">
        <x:v>全現金：物業稅前 IRR</x:v>
      </x:c>
      <x:c r="C22" s="2"/>
      <x:c r="D22" s="40" t="n">
        <x:f>IF('進階假設'!$D$40=1,IF(SUMPRODUCT(--('年度明細'!C44:L44&lt;&gt;'年度明細'!D44:M44))=1,IFERROR(IRR('年度明細'!C40:F40),"無法求解"),"不適用"),"請修正輸入")</x:f>
        <x:v>-0.001385864320478782</x:v>
      </x:c>
      <x:c r="E22" s="40" t="n">
        <x:f>IF('進階假設'!$D$40=1,IF(SUMPRODUCT(--('年度明細'!C57:L57&lt;&gt;'年度明細'!D57:M57))=1,IFERROR(IRR('年度明細'!C53:H53),"無法求解"),"不適用"),"請修正輸入")</x:f>
        <x:v>0.01282515427655152</x:v>
      </x:c>
      <x:c r="F22" s="40" t="n">
        <x:f>IF('進階假設'!$D$40=1,IF(SUMPRODUCT(--('年度明細'!C70:L70&lt;&gt;'年度明細'!D70:M70))=1,IFERROR(IRR('年度明細'!C66:M66),"無法求解"),"不適用"),"請修正輸入")</x:f>
        <x:v>0.023655227717505764</x:v>
      </x:c>
      <x:c r="G22" s="40" t="n">
        <x:f>IF('進階假設'!$F$40=1,IF(SUMPRODUCT(--('年度明細'!C126:L126&lt;&gt;'年度明細'!D126:M126))=1,IFERROR(IRR('年度明細'!C122:F122),"無法求解"),"不適用"),"請修正輸入")</x:f>
        <x:v>0.033485865986508934</x:v>
      </x:c>
      <x:c r="H22" s="40" t="n">
        <x:f>IF('進階假設'!$F$40=1,IF(SUMPRODUCT(--('年度明細'!C139:L139&lt;&gt;'年度明細'!D139:M139))=1,IFERROR(IRR('年度明細'!C135:H135),"無法求解"),"不適用"),"請修正輸入")</x:f>
        <x:v>0.047037761210418874</x:v>
      </x:c>
      <x:c r="I22" s="40" t="n">
        <x:f>IF('進階假設'!$F$40=1,IF(SUMPRODUCT(--('年度明細'!C152:L152&lt;&gt;'年度明細'!D152:M152))=1,IFERROR(IRR('年度明細'!C148:M148),"無法求解"),"不適用"),"請修正輸入")</x:f>
        <x:v>0.05566368427021594</x:v>
      </x:c>
    </x:row>
    <x:row r="23" ht="23" customHeight="1">
      <x:c r="A23" s="2"/>
      <x:c r="B23" s="2" t="str">
        <x:v>按揭：稅前淨現值</x:v>
      </x:c>
      <x:c r="C23" s="2"/>
      <x:c r="D23" s="34" t="n">
        <x:f>IF('進階假設'!$D$40=1,NPV('進階假設'!$D$16,'年度明細'!D42:F42)+'年度明細'!C42,"請修正輸入")</x:f>
        <x:v>-389592.7646002041</x:v>
      </x:c>
      <x:c r="E23" s="34" t="n">
        <x:f>IF('進階假設'!$D$40=1,NPV('進階假設'!$D$16,'年度明細'!D55:H55)+'年度明細'!C55,"請修正輸入")</x:f>
        <x:v>-356406.0520623033</x:v>
      </x:c>
      <x:c r="F23" s="34" t="n">
        <x:f>IF('進階假設'!$D$40=1,NPV('進階假設'!$D$16,'年度明細'!D68:M68)+'年度明細'!C68,"請修正輸入")</x:f>
        <x:v>-286859.33891504793</x:v>
      </x:c>
      <x:c r="G23" s="34" t="n">
        <x:f>IF('進階假設'!$F$40=1,NPV('進階假設'!$F$16,'年度明細'!D124:F124)+'年度明細'!C124,"請修正輸入")</x:f>
        <x:v>23297.180057825055</x:v>
      </x:c>
      <x:c r="H23" s="34" t="n">
        <x:f>IF('進階假設'!$F$40=1,NPV('進階假設'!$F$16,'年度明細'!D137:H137)+'年度明細'!C137,"請修正輸入")</x:f>
        <x:v>310436.69608964934</x:v>
      </x:c>
      <x:c r="I23" s="34" t="n">
        <x:f>IF('進階假設'!$F$40=1,NPV('進階假設'!$F$16,'年度明細'!D150:M150)+'年度明細'!C150,"請修正輸入")</x:f>
        <x:v>948360.8020928628</x:v>
      </x:c>
    </x:row>
    <x:row r="24" ht="23" customHeight="1">
      <x:c r="A24" s="2"/>
      <x:c r="B24" s="2" t="str">
        <x:v>全現金：稅前淨現值</x:v>
      </x:c>
      <x:c r="C24" s="2"/>
      <x:c r="D24" s="34" t="n">
        <x:f>IF('進階假設'!$D$40=1,NPV('進階假設'!$D$16,'年度明細'!D40:F40)+'年度明細'!C40,"請修正輸入")</x:f>
        <x:v>-431476.1879571923</x:v>
      </x:c>
      <x:c r="E24" s="34" t="n">
        <x:f>IF('進階假設'!$D$40=1,NPV('進階假設'!$D$16,'年度明細'!D53:H53)+'年度明細'!C53,"請修正輸入")</x:f>
        <x:v>-421750.40856150445</x:v>
      </x:c>
      <x:c r="F24" s="34" t="n">
        <x:f>IF('進階假設'!$D$40=1,NPV('進階假設'!$D$16,'年度明細'!D66:M66)+'年度明細'!C66,"請修正輸入")</x:f>
        <x:v>-397032.2099510073</x:v>
      </x:c>
      <x:c r="G24" s="34" t="n">
        <x:f>IF('進階假設'!$F$40=1,NPV('進階假設'!$F$16,'年度明細'!D122:F122)+'年度明細'!C122,"請修正輸入")</x:f>
        <x:v>-18586.243299163878</x:v>
      </x:c>
      <x:c r="H24" s="34" t="n">
        <x:f>IF('進階假設'!$F$40=1,NPV('進階假設'!$F$16,'年度明細'!D135:H135)+'年度明細'!C135,"請修正輸入")</x:f>
        <x:v>245092.33959044795</x:v>
      </x:c>
      <x:c r="I24" s="34" t="n">
        <x:f>IF('進階假設'!$F$40=1,NPV('進階假設'!$F$16,'年度明細'!D148:M148)+'年度明細'!C148,"請修正輸入")</x:f>
        <x:v>838187.9310569037</x:v>
      </x:c>
    </x:row>
    <x:row r="25" ht="23" customHeight="1">
      <x:c r="A25" s="2"/>
      <x:c r="B25" s="27" t="str">
        <x:v>按揭：持有期稅後總盈虧</x:v>
      </x:c>
      <x:c r="C25" s="27"/>
      <x:c r="D25" s="46" t="n">
        <x:f>IF('進階假設'!$D$40=1,SUM('年度明細'!C43:F43),"請修正輸入")</x:f>
        <x:v>-315331.6742343509</x:v>
      </x:c>
      <x:c r="E25" s="46" t="n">
        <x:f>IF('進階假設'!$D$40=1,SUM('年度明細'!C56:H56),"請修正輸入")</x:f>
        <x:v>-212606.92992682452</x:v>
      </x:c>
      <x:c r="F25" s="46" t="n">
        <x:f>IF('進階假設'!$D$40=1,SUM('年度明細'!C69:M69),"請修正輸入")</x:f>
        <x:v>112926.78550288174</x:v>
      </x:c>
      <x:c r="G25" s="46" t="n">
        <x:f>IF('進階假設'!$F$40=1,SUM('年度明細'!C125:F125),"請修正輸入")</x:f>
        <x:v>142446.78781576664</x:v>
      </x:c>
      <x:c r="H25" s="46" t="n">
        <x:f>IF('進階假設'!$F$40=1,SUM('年度明細'!C138:H138),"請修正輸入")</x:f>
        <x:v>579393.0700731771</x:v>
      </x:c>
      <x:c r="I25" s="46" t="n">
        <x:f>IF('進階假設'!$F$40=1,SUM('年度明細'!C151:M151),"請修正輸入")</x:f>
        <x:v>1855326.7855028864</x:v>
      </x:c>
    </x:row>
    <x:row r="26" ht="23" customHeight="1">
      <x:c r="A26" s="2"/>
      <x:c r="B26" s="27" t="str">
        <x:v>達到比較門檻所需售價</x:v>
      </x:c>
      <x:c r="C26" s="27"/>
      <x:c r="D26" s="46" t="n">
        <x:f>IF('進階假設'!$D$40=1,('進階假設'!$D$50*(1+'進階假設'!$D$16)^3-SUMPRODUCT('年度明細'!D29:F29,(1+'進階假設'!$D$16)^(3-'年度明細'!D6:F6))+'年度明細'!F26+'進階假設'!$D$22+'年度明細'!F34)/(1-'進階假設'!$D$21),"請修正輸入")</x:f>
        <x:v>4436311.577861529</x:v>
      </x:c>
      <x:c r="E26" s="46" t="n">
        <x:f>IF('進階假設'!$D$40=1,('進階假設'!$D$50*(1+'進階假設'!$D$16)^5-SUMPRODUCT('年度明細'!D29:H29,(1+'進階假設'!$D$16)^(5-'年度明細'!D6:H6))+'年度明細'!H26+'進階假設'!$D$22+'年度明細'!H34)/(1-'進階假設'!$D$21),"請修正輸入")</x:f>
        <x:v>4427574.330589964</x:v>
      </x:c>
      <x:c r="F26" s="46" t="n">
        <x:f>IF('進階假設'!$D$40=1,('進階假設'!$D$50*(1+'進階假設'!$D$16)^10-SUMPRODUCT('年度明細'!D29:M29,(1+'進階假設'!$D$16)^(10-'年度明細'!D6:M6))+'年度明細'!M26+'進階假設'!$D$22+'年度明細'!M34)/(1-'進階假設'!$D$21),"請修正輸入")</x:f>
        <x:v>4408730.735299152</x:v>
      </x:c>
      <x:c r="G26" s="46" t="n">
        <x:f>IF('進階假設'!$F$40=1,('進階假設'!$F$50*(1+'進階假設'!$F$16)^3-SUMPRODUCT('年度明細'!D111:F111,(1+'進階假設'!$F$16)^(3-'年度明細'!D88:F88))+'年度明細'!F108+'進階假設'!$F$22+'年度明細'!F116)/(1-'進階假設'!$F$21),"請修正輸入")</x:f>
        <x:v>4436311.577861529</x:v>
      </x:c>
      <x:c r="H26" s="46" t="n">
        <x:f>IF('進階假設'!$F$40=1,('進階假設'!$F$50*(1+'進階假設'!$F$16)^5-SUMPRODUCT('年度明細'!D111:H111,(1+'進階假設'!$F$16)^(5-'年度明細'!D88:H88))+'年度明細'!H108+'進階假設'!$F$22+'年度明細'!H116)/(1-'進階假設'!$F$21),"請修正輸入")</x:f>
        <x:v>4427574.330589964</x:v>
      </x:c>
      <x:c r="I26" s="46" t="n">
        <x:f>IF('進階假設'!$F$40=1,('進階假設'!$F$50*(1+'進階假設'!$F$16)^10-SUMPRODUCT('年度明細'!D111:M111,(1+'進階假設'!$F$16)^(10-'年度明細'!D88:M88))+'年度明細'!M108+'進階假設'!$F$22+'年度明細'!M116)/(1-'進階假設'!$F$21),"請修正輸入")</x:f>
        <x:v>4408730.735299152</x:v>
      </x:c>
    </x:row>
    <x:row r="27" ht="23" customHeight="1">
      <x:c r="A27" s="2"/>
      <x:c r="B27" s="2" t="str">
        <x:v>樓價全期累計升跌</x:v>
      </x:c>
      <x:c r="C27" s="2"/>
      <x:c r="D27" s="40" t="n">
        <x:f>IF('進階假設'!$D$40=1,(1+'進階假設'!$D$15)^3-1,"請修正輸入")</x:f>
        <x:v>0</x:v>
      </x:c>
      <x:c r="E27" s="40" t="n">
        <x:f>IF('進階假設'!$D$40=1,(1+'進階假設'!$D$15)^5-1,"請修正輸入")</x:f>
        <x:v>0</x:v>
      </x:c>
      <x:c r="F27" s="40" t="n">
        <x:f>IF('進階假設'!$D$40=1,(1+'進階假設'!$D$15)^10-1,"請修正輸入")</x:f>
        <x:v>0</x:v>
      </x:c>
      <x:c r="G27" s="40" t="n">
        <x:f>IF('進階假設'!$F$40=1,(1+'進階假設'!$F$15)^3-1,"請修正輸入")</x:f>
        <x:v>0.11560062172982777</x:v>
      </x:c>
      <x:c r="H27" s="40" t="n">
        <x:f>IF('進階假設'!$F$40=1,(1+'進階假設'!$F$15)^5-1,"請修正輸入")</x:f>
        <x:v>0.2000000000000004</x:v>
      </x:c>
      <x:c r="I27" s="40" t="n">
        <x:f>IF('進階假設'!$F$40=1,(1+'進階假設'!$F$15)^10-1,"請修正輸入")</x:f>
        <x:v>0.44000000000000106</x:v>
      </x:c>
    </x:row>
    <x:row r="28" ht="23" customHeight="1">
      <x:c r="A28" s="2"/>
      <x:c r="B28" s="2"/>
      <x:c r="C28" s="2"/>
      <x:c r="D28" s="3"/>
      <x:c r="E28" s="3"/>
      <x:c r="F28" s="3"/>
      <x:c r="G28" s="3"/>
      <x:c r="H28" s="3"/>
      <x:c r="I28" s="3"/>
    </x:row>
    <x:row r="29" ht="23" customHeight="1">
      <x:c r="A29" s="2"/>
      <x:c r="B29" s="2"/>
      <x:c r="C29" s="2"/>
      <x:c r="D29" s="3"/>
      <x:c r="E29" s="3"/>
      <x:c r="F29" s="3"/>
      <x:c r="G29" s="3"/>
      <x:c r="H29" s="3"/>
      <x:c r="I29" s="3"/>
    </x:row>
    <x:row r="30" ht="23" customHeight="1">
      <x:c r="A30" s="2"/>
      <x:c r="B30" s="32" t="str">
        <x:v>A 預設樓價每年不變；B 每年約 +3.7137%，等於保留原先 5 年累計 +20% 的假設。</x:v>
      </x:c>
      <x:c r="C30" s="32"/>
      <x:c r="D30" s="33"/>
      <x:c r="E30" s="33"/>
      <x:c r="F30" s="33"/>
      <x:c r="G30" s="33"/>
      <x:c r="H30" s="33"/>
      <x:c r="I30" s="33"/>
    </x:row>
    <x:row r="31" ht="23" customHeight="1">
      <x:c r="A31" s="2"/>
      <x:c r="B31" s="32" t="str">
        <x:v>房價增長可在「進階假設」修改。它是情境假設，不是樓價預測。</x:v>
      </x:c>
      <x:c r="C31" s="32"/>
      <x:c r="D31" s="33"/>
      <x:c r="E31" s="33"/>
      <x:c r="F31" s="33"/>
      <x:c r="G31" s="33"/>
      <x:c r="H31" s="33"/>
      <x:c r="I31" s="33"/>
    </x:row>
    <x:row r="32" ht="23" customHeight="1">
      <x:c r="A32" s="2"/>
      <x:c r="B32" s="32"/>
      <x:c r="C32" s="32"/>
      <x:c r="D32" s="33"/>
      <x:c r="E32" s="33"/>
      <x:c r="F32" s="33"/>
      <x:c r="G32" s="33"/>
      <x:c r="H32" s="33"/>
      <x:c r="I32" s="33"/>
    </x:row>
    <x:row r="33" ht="23" customHeight="1">
      <x:c r="A33" s="2"/>
      <x:c r="B33" s="32" t="str">
        <x:v>自動計算：買入印花稅、RV 估算、差餉、地租、租約次數與佣金、供款、餘款及 IRR。</x:v>
      </x:c>
      <x:c r="C33" s="32"/>
      <x:c r="D33" s="33"/>
      <x:c r="E33" s="33"/>
      <x:c r="F33" s="33"/>
      <x:c r="G33" s="33"/>
      <x:c r="H33" s="33"/>
      <x:c r="I33" s="33"/>
    </x:row>
    <x:row r="34" ht="23" customHeight="1">
      <x:c r="A34" s="2"/>
      <x:c r="B34" s="32" t="str">
        <x:v>RV 預設＝月租 × 12，只是估算；已有正式差餉租值請在進階假設填入。</x:v>
      </x:c>
      <x:c r="C34" s="32"/>
      <x:c r="D34" s="33"/>
      <x:c r="E34" s="33"/>
      <x:c r="F34" s="33"/>
      <x:c r="G34" s="33"/>
      <x:c r="H34" s="33"/>
      <x:c r="I34" s="33"/>
    </x:row>
    <x:row r="35" ht="23" customHeight="1">
      <x:c r="A35" s="2"/>
      <x:c r="B35" s="32" t="str">
        <x:v>固定預算：70% 按揭、3% 年息、20 年還款，24 個月租約；成本與稅率請按實際情況修改。</x:v>
      </x:c>
      <x:c r="C35" s="32"/>
      <x:c r="D35" s="33"/>
      <x:c r="E35" s="33"/>
      <x:c r="F35" s="33"/>
      <x:c r="G35" s="33"/>
      <x:c r="H35" s="33"/>
      <x:c r="I35" s="33"/>
    </x:row>
    <x:row r="36" ht="23" customHeight="1">
      <x:c r="A36" s="2"/>
      <x:c r="B36" s="32" t="str">
        <x:v>租約免租期只調整印花稅；實收租金仍由空置／免租月數控制，不會自動重複扣租。</x:v>
      </x:c>
      <x:c r="C36" s="32"/>
      <x:c r="D36" s="33"/>
      <x:c r="E36" s="33"/>
      <x:c r="F36" s="33"/>
      <x:c r="G36" s="33"/>
      <x:c r="H36" s="33"/>
      <x:c r="I36" s="33"/>
    </x:row>
    <x:row r="37" ht="23" customHeight="1">
      <x:c r="A37" s="2"/>
      <x:c r="B37" s="32" t="str">
        <x:v>IRR 只在現金流恰好轉號一次時顯示；其他情況請看淨現值。借貸本金不重複當回報。</x:v>
      </x:c>
      <x:c r="C37" s="32"/>
      <x:c r="D37" s="33"/>
      <x:c r="E37" s="33"/>
      <x:c r="F37" s="33"/>
      <x:c r="G37" s="33"/>
      <x:c r="H37" s="33"/>
      <x:c r="I37" s="33"/>
    </x:row>
    <x:row r="38" ht="23" customHeight="1">
      <x:c r="A38" s="2"/>
      <x:c r="B38" s="32" t="str">
        <x:v>淨現值及所需售價沿用稅前比較門檻；年度稅額未模擬暫繳稅付款時間。</x:v>
      </x:c>
      <x:c r="C38" s="32"/>
      <x:c r="D38" s="33"/>
      <x:c r="E38" s="33"/>
      <x:c r="F38" s="33"/>
      <x:c r="G38" s="33"/>
      <x:c r="H38" s="33"/>
      <x:c r="I38" s="33"/>
    </x:row>
    <x:row r="39" ht="23" customHeight="1">
      <x:c r="A39" s="2"/>
      <x:c r="B39" s="2"/>
      <x:c r="C39" s="2"/>
      <x:c r="D39" s="3"/>
      <x:c r="E39" s="3"/>
      <x:c r="F39" s="3"/>
      <x:c r="G39" s="3"/>
      <x:c r="H39" s="3"/>
      <x:c r="I39" s="3"/>
    </x:row>
    <x:row r="40" ht="23" customHeight="1">
      <x:c r="A40" s="2"/>
      <x:c r="B40" s="2" t="str">
        <x:v>輸入檢查</x:v>
      </x:c>
      <x:c r="C40" s="2"/>
      <x:c r="D40" s="34" t="str">
        <x:f>IF(AND('進階假設'!D40=1,'進階假設'!F40=1),"可計算","請修正進階假設中標示的輸入")</x:f>
        <x:v>可計算</x:v>
      </x:c>
      <x:c r="E40" s="3"/>
      <x:c r="F40" s="3"/>
      <x:c r="G40" s="3"/>
      <x:c r="H40" s="3"/>
      <x:c r="I40" s="3"/>
    </x:row>
    <x:row r="41" ht="23" customHeight="1">
      <x:c r="A41" s="2"/>
      <x:c r="B41" s="2"/>
      <x:c r="C41" s="2"/>
      <x:c r="D41" s="3"/>
      <x:c r="E41" s="3"/>
      <x:c r="F41" s="3"/>
      <x:c r="G41" s="3"/>
      <x:c r="H41" s="3"/>
      <x:c r="I41" s="3"/>
    </x:row>
  </x:sheetData>
  <x:conditionalFormatting sqref="D19:I25">
    <x:cfRule type="cellIs" dxfId="97" priority="1" operator="less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" hidden="0" customWidth="1"/>
    <x:col min="2" max="2" width="36" hidden="0" customWidth="1"/>
    <x:col min="3" max="3" width="8" hidden="0" customWidth="1"/>
    <x:col min="4" max="4" width="18" hidden="0" customWidth="1"/>
    <x:col min="5" max="5" width="18" hidden="0" customWidth="1"/>
    <x:col min="6" max="6" width="18" hidden="0" customWidth="1"/>
    <x:col min="7" max="7" width="57" hidden="0" customWidth="1"/>
    <x:col min="8" max="8" width="3" hidden="0" customWidth="1"/>
    <x:col min="9" max="9" width="3" hidden="0" customWidth="1"/>
    <x:col min="10" max="10" width="12" hidden="0" customWidth="1"/>
    <x:col min="11" max="11" width="1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2" customHeight="1">
      <x:c r="A2" s="2"/>
      <x:c r="B2" s="5" t="str">
        <x:v>進階假設</x:v>
      </x:c>
      <x:c r="C2" s="6"/>
      <x:c r="D2" s="6"/>
      <x:c r="E2" s="6"/>
      <x:c r="F2" s="6"/>
      <x:c r="G2" s="6"/>
      <x:c r="H2" s="6"/>
      <x:c r="I2" s="6"/>
      <x:c r="J2" s="6"/>
      <x:c r="K2" s="6"/>
    </x:row>
    <x:row r="3" ht="23" customHeight="1">
      <x:c r="A3" s="2"/>
      <x:c r="B3" s="7" t="str">
        <x:v>黃色藍字可改；B 差異留白沿用 A，填 0 代表零。綠字為跨頁公式。費用及租約安排是預算假設。</x:v>
      </x:c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24" customHeight="1">
      <x:c r="A5" s="2"/>
      <x:c r="B5" s="10" t="str">
        <x:v>A 共用假設與 B 差異</x:v>
      </x:c>
      <x:c r="C5" s="10"/>
      <x:c r="D5" s="10"/>
      <x:c r="E5" s="10"/>
      <x:c r="F5" s="10"/>
      <x:c r="G5" s="10"/>
      <x:c r="H5" s="2"/>
      <x:c r="I5" s="2"/>
      <x:c r="J5" s="2"/>
      <x:c r="K5" s="2"/>
    </x:row>
    <x:row r="6" ht="23" customHeight="1">
      <x:c r="A6" s="2"/>
      <x:c r="B6" s="26" t="str">
        <x:v>項目</x:v>
      </x:c>
      <x:c r="C6" s="26" t="str">
        <x:v>單位</x:v>
      </x:c>
      <x:c r="D6" s="23" t="str">
        <x:v>A／共同</x:v>
      </x:c>
      <x:c r="E6" s="23" t="str">
        <x:v>B 差異</x:v>
      </x:c>
      <x:c r="F6" s="23" t="str">
        <x:v>B 實際採用</x:v>
      </x:c>
      <x:c r="G6" s="23" t="str">
        <x:v>口徑</x:v>
      </x:c>
      <x:c r="H6" s="3"/>
      <x:c r="I6" s="3"/>
      <x:c r="J6" s="3" t="str">
        <x:v>A 有效</x:v>
      </x:c>
      <x:c r="K6" s="3" t="str">
        <x:v>B 有效</x:v>
      </x:c>
    </x:row>
    <x:row r="7" ht="31" customHeight="1">
      <x:c r="A7" s="2"/>
      <x:c r="B7" s="2" t="str">
        <x:v>買入樓價</x:v>
      </x:c>
      <x:c r="C7" s="2" t="str">
        <x:v>HKD</x:v>
      </x:c>
      <x:c r="D7" s="34" t="n">
        <x:f>'計算機'!D7</x:f>
        <x:v>4000000</x:v>
      </x:c>
      <x:c r="E7" s="12"/>
      <x:c r="F7" s="35" t="n">
        <x:f>IF(ISBLANK(E7),D7,E7)</x:f>
        <x:v>4000000</x:v>
      </x:c>
      <x:c r="G7" s="42" t="str">
        <x:v>主頁輸入；B 如有差異可另填。</x:v>
      </x:c>
      <x:c r="H7" s="3"/>
      <x:c r="I7" s="3"/>
      <x:c r="J7" s="35" t="n">
        <x:f>IF(ISNUMBER(D7),IF(AND(ISNUMBER(D7),D7&gt;0),1,0),0)</x:f>
        <x:v>1</x:v>
      </x:c>
      <x:c r="K7" s="35" t="n">
        <x:f>IF(ISNUMBER(F7),IF(AND(ISNUMBER(F7),F7&gt;0),1,0),0)</x:f>
        <x:v>1</x:v>
      </x:c>
    </x:row>
    <x:row r="8" ht="31" customHeight="1">
      <x:c r="A8" s="2"/>
      <x:c r="B8" s="2" t="str">
        <x:v>每月租金</x:v>
      </x:c>
      <x:c r="C8" s="2" t="str">
        <x:v>HKD</x:v>
      </x:c>
      <x:c r="D8" s="34" t="n">
        <x:f>'計算機'!D8</x:f>
        <x:v>17000</x:v>
      </x:c>
      <x:c r="E8" s="12"/>
      <x:c r="F8" s="35" t="n">
        <x:f>IF(ISBLANK(E8),D8,E8)</x:f>
        <x:v>17000</x:v>
      </x:c>
      <x:c r="G8" s="42" t="str">
        <x:v>主頁輸入；全期固定。</x:v>
      </x:c>
      <x:c r="H8" s="3"/>
      <x:c r="I8" s="3"/>
      <x:c r="J8" s="35" t="n">
        <x:f>IF(ISNUMBER(D8),IF(AND(ISNUMBER(D8),D8&gt;=0),1,0),0)</x:f>
        <x:v>1</x:v>
      </x:c>
      <x:c r="K8" s="35" t="n">
        <x:f>IF(ISNUMBER(F8),IF(AND(ISNUMBER(F8),F8&gt;=0),1,0),0)</x:f>
        <x:v>1</x:v>
      </x:c>
    </x:row>
    <x:row r="9" ht="31" customHeight="1">
      <x:c r="A9" s="2"/>
      <x:c r="B9" s="2" t="str">
        <x:v>初始裝修預算</x:v>
      </x:c>
      <x:c r="C9" s="2" t="str">
        <x:v>HKD</x:v>
      </x:c>
      <x:c r="D9" s="34" t="n">
        <x:f>'計算機'!D9</x:f>
        <x:v>300000</x:v>
      </x:c>
      <x:c r="E9" s="12"/>
      <x:c r="F9" s="35" t="n">
        <x:f>IF(ISBLANK(E9),D9,E9)</x:f>
        <x:v>300000</x:v>
      </x:c>
      <x:c r="G9" s="42" t="str">
        <x:v>主頁輸入；第 0 年支出。</x:v>
      </x:c>
      <x:c r="H9" s="3"/>
      <x:c r="I9" s="3"/>
      <x:c r="J9" s="35" t="n">
        <x:f>IF(ISNUMBER(D9),IF(AND(ISNUMBER(D9),D9&gt;=0),1,0),0)</x:f>
        <x:v>1</x:v>
      </x:c>
      <x:c r="K9" s="35" t="n">
        <x:f>IF(ISNUMBER(F9),IF(AND(ISNUMBER(F9),F9&gt;=0),1,0),0)</x:f>
        <x:v>1</x:v>
      </x:c>
    </x:row>
    <x:row r="10" ht="31" customHeight="1">
      <x:c r="A10" s="2"/>
      <x:c r="B10" s="2"/>
      <x:c r="C10" s="2"/>
      <x:c r="D10" s="3"/>
      <x:c r="E10" s="3"/>
      <x:c r="F10" s="3"/>
      <x:c r="G10" s="42"/>
      <x:c r="H10" s="3"/>
      <x:c r="I10" s="3"/>
      <x:c r="J10" s="3"/>
      <x:c r="K10" s="3"/>
    </x:row>
    <x:row r="11" ht="31" customHeight="1">
      <x:c r="A11" s="2"/>
      <x:c r="B11" s="2"/>
      <x:c r="C11" s="2"/>
      <x:c r="D11" s="3"/>
      <x:c r="E11" s="3"/>
      <x:c r="F11" s="3"/>
      <x:c r="G11" s="42"/>
      <x:c r="H11" s="3"/>
      <x:c r="I11" s="3"/>
      <x:c r="J11" s="3"/>
      <x:c r="K11" s="3"/>
    </x:row>
    <x:row r="12" ht="31" customHeight="1">
      <x:c r="A12" s="2"/>
      <x:c r="B12" s="2" t="str">
        <x:v>按揭成數</x:v>
      </x:c>
      <x:c r="C12" s="2" t="str">
        <x:v>%</x:v>
      </x:c>
      <x:c r="D12" s="36" t="n">
        <x:v>0.7</x:v>
      </x:c>
      <x:c r="E12" s="36"/>
      <x:c r="F12" s="37" t="n">
        <x:f>IF(ISBLANK(E12),D12,E12)</x:f>
        <x:v>0.7</x:v>
      </x:c>
      <x:c r="G12" s="42" t="str">
        <x:v>沿用原 A 預算；須有出租用途及貸款批核。</x:v>
      </x:c>
      <x:c r="H12" s="3"/>
      <x:c r="I12" s="3"/>
      <x:c r="J12" s="35" t="n">
        <x:f>IF(ISNUMBER(D12),IF(AND(ISNUMBER(D12),D12&gt;=0,D12&lt;=0.7),1,0),0)</x:f>
        <x:v>1</x:v>
      </x:c>
      <x:c r="K12" s="35" t="n">
        <x:f>IF(ISNUMBER(F12),IF(AND(ISNUMBER(F12),F12&gt;=0,F12&lt;=0.7),1,0),0)</x:f>
        <x:v>1</x:v>
      </x:c>
    </x:row>
    <x:row r="13" ht="31" customHeight="1">
      <x:c r="A13" s="2"/>
      <x:c r="B13" s="2" t="str">
        <x:v>按揭固定年利率</x:v>
      </x:c>
      <x:c r="C13" s="2" t="str">
        <x:v>%</x:v>
      </x:c>
      <x:c r="D13" s="36" t="n">
        <x:v>0.03</x:v>
      </x:c>
      <x:c r="E13" s="36"/>
      <x:c r="F13" s="37" t="n">
        <x:f>IF(ISBLANK(E13),D13,E13)</x:f>
        <x:v>0.03</x:v>
      </x:c>
      <x:c r="G13" s="42" t="str">
        <x:v>沿用原 A 預算，假設全期固定。</x:v>
      </x:c>
      <x:c r="H13" s="3"/>
      <x:c r="I13" s="3"/>
      <x:c r="J13" s="35" t="n">
        <x:f>IF(ISNUMBER(D13),IF(AND(ISNUMBER(D13),D13&gt;=0),1,0),0)</x:f>
        <x:v>1</x:v>
      </x:c>
      <x:c r="K13" s="35" t="n">
        <x:f>IF(ISNUMBER(F13),IF(AND(ISNUMBER(F13),F13&gt;=0),1,0),0)</x:f>
        <x:v>1</x:v>
      </x:c>
    </x:row>
    <x:row r="14" ht="31" customHeight="1">
      <x:c r="A14" s="2"/>
      <x:c r="B14" s="2" t="str">
        <x:v>按揭還款年期</x:v>
      </x:c>
      <x:c r="C14" s="2" t="str">
        <x:v>年</x:v>
      </x:c>
      <x:c r="D14" s="12" t="n">
        <x:v>20</x:v>
      </x:c>
      <x:c r="E14" s="12"/>
      <x:c r="F14" s="35" t="n">
        <x:f>IF(ISBLANK(E14),D14,E14)</x:f>
        <x:v>20</x:v>
      </x:c>
      <x:c r="G14" s="42" t="str">
        <x:v>按月攤還，還清後供款為零。</x:v>
      </x:c>
      <x:c r="H14" s="3"/>
      <x:c r="I14" s="3"/>
      <x:c r="J14" s="35" t="n">
        <x:f>IF(ISNUMBER(D14),IF(AND(ISNUMBER(D14),D14&gt;=1,D14=INT(D14)),1,0),0)</x:f>
        <x:v>1</x:v>
      </x:c>
      <x:c r="K14" s="35" t="n">
        <x:f>IF(ISNUMBER(F14),IF(AND(ISNUMBER(F14),F14&gt;=1,F14=INT(F14)),1,0),0)</x:f>
        <x:v>1</x:v>
      </x:c>
    </x:row>
    <x:row r="15" ht="31" customHeight="1">
      <x:c r="A15" s="2"/>
      <x:c r="B15" s="2" t="str">
        <x:v>樓價每年升跌</x:v>
      </x:c>
      <x:c r="C15" s="2" t="str">
        <x:v>%</x:v>
      </x:c>
      <x:c r="D15" s="36" t="n">
        <x:v>0</x:v>
      </x:c>
      <x:c r="E15" s="36" t="n">
        <x:v>0.03713728933664817</x:v>
      </x:c>
      <x:c r="F15" s="37" t="n">
        <x:f>IF(ISBLANK(E15),D15,E15)</x:f>
        <x:v>0.03713728933664817</x:v>
      </x:c>
      <x:c r="G15" s="42" t="str">
        <x:v>B 以 (1.2)^(1/5)−1 保留原 5 年 +20%。</x:v>
      </x:c>
      <x:c r="H15" s="3"/>
      <x:c r="I15" s="3"/>
      <x:c r="J15" s="35" t="n">
        <x:f>IF(ISNUMBER(D15),IF(AND(ISNUMBER(D15),D15&gt;-1),1,0),0)</x:f>
        <x:v>1</x:v>
      </x:c>
      <x:c r="K15" s="35" t="n">
        <x:f>IF(ISNUMBER(F15),IF(AND(ISNUMBER(F15),F15&gt;-1),1,0),0)</x:f>
        <x:v>1</x:v>
      </x:c>
    </x:row>
    <x:row r="16" ht="31" customHeight="1">
      <x:c r="A16" s="2"/>
      <x:c r="B16" s="2" t="str">
        <x:v>比較年回報門檻</x:v>
      </x:c>
      <x:c r="C16" s="2" t="str">
        <x:v>%</x:v>
      </x:c>
      <x:c r="D16" s="36" t="n">
        <x:v>0.035</x:v>
      </x:c>
      <x:c r="E16" s="36"/>
      <x:c r="F16" s="37" t="n">
        <x:f>IF(ISBLANK(E16),D16,E16)</x:f>
        <x:v>0.035</x:v>
      </x:c>
      <x:c r="G16" s="42" t="str">
        <x:v>有效年回報假設，未作外匯及個人稅後對齊。</x:v>
      </x:c>
      <x:c r="H16" s="3"/>
      <x:c r="I16" s="3"/>
      <x:c r="J16" s="35" t="n">
        <x:f>IF(ISNUMBER(D16),IF(AND(ISNUMBER(D16),D16&gt;-1),1,0),0)</x:f>
        <x:v>1</x:v>
      </x:c>
      <x:c r="K16" s="35" t="n">
        <x:f>IF(ISNUMBER(F16),IF(AND(ISNUMBER(F16),F16&gt;-1),1,0),0)</x:f>
        <x:v>1</x:v>
      </x:c>
    </x:row>
    <x:row r="17" ht="31" customHeight="1">
      <x:c r="A17" s="2"/>
      <x:c r="B17" s="2" t="str">
        <x:v>首年無租月數</x:v>
      </x:c>
      <x:c r="C17" s="2" t="str">
        <x:v>月</x:v>
      </x:c>
      <x:c r="D17" s="38" t="n">
        <x:v>3</x:v>
      </x:c>
      <x:c r="E17" s="38"/>
      <x:c r="F17" s="39" t="n">
        <x:f>IF(ISBLANK(E17),D17,E17)</x:f>
        <x:v>3</x:v>
      </x:c>
      <x:c r="G17" s="42" t="str">
        <x:v>裝修及招租空置；第 2 年起用下一項。</x:v>
      </x:c>
      <x:c r="H17" s="3"/>
      <x:c r="I17" s="3"/>
      <x:c r="J17" s="35" t="n">
        <x:f>IF(ISNUMBER(D17),IF(AND(ISNUMBER(D17),D17&gt;=0,D17&lt;=12),1,0),0)</x:f>
        <x:v>1</x:v>
      </x:c>
      <x:c r="K17" s="35" t="n">
        <x:f>IF(ISNUMBER(F17),IF(AND(ISNUMBER(F17),F17&gt;=0,F17&lt;=12),1,0),0)</x:f>
        <x:v>1</x:v>
      </x:c>
    </x:row>
    <x:row r="18" ht="31" customHeight="1">
      <x:c r="A18" s="2"/>
      <x:c r="B18" s="2" t="str">
        <x:v>第 2 年起無租月數</x:v>
      </x:c>
      <x:c r="C18" s="2" t="str">
        <x:v>月</x:v>
      </x:c>
      <x:c r="D18" s="38" t="n">
        <x:v>1</x:v>
      </x:c>
      <x:c r="E18" s="38"/>
      <x:c r="F18" s="39" t="n">
        <x:f>IF(ISBLANK(E18),D18,E18)</x:f>
        <x:v>1</x:v>
      </x:c>
      <x:c r="G18" s="42" t="str">
        <x:v>每年空置／免租預算，費用與供款照付。</x:v>
      </x:c>
      <x:c r="H18" s="3"/>
      <x:c r="I18" s="3"/>
      <x:c r="J18" s="35" t="n">
        <x:f>IF(ISNUMBER(D18),IF(AND(ISNUMBER(D18),D18&gt;=0,D18&lt;=12),1,0),0)</x:f>
        <x:v>1</x:v>
      </x:c>
      <x:c r="K18" s="35" t="n">
        <x:f>IF(ISNUMBER(F18),IF(AND(ISNUMBER(F18),F18&gt;=0,F18&lt;=12),1,0),0)</x:f>
        <x:v>1</x:v>
      </x:c>
    </x:row>
    <x:row r="19" ht="31" customHeight="1">
      <x:c r="A19" s="2"/>
      <x:c r="B19" s="2" t="str">
        <x:v>買入代理佣金</x:v>
      </x:c>
      <x:c r="C19" s="2" t="str">
        <x:v>%</x:v>
      </x:c>
      <x:c r="D19" s="36" t="n">
        <x:v>0.01</x:v>
      </x:c>
      <x:c r="E19" s="36"/>
      <x:c r="F19" s="37" t="n">
        <x:f>IF(ISBLANK(E19),D19,E19)</x:f>
        <x:v>0.01</x:v>
      </x:c>
      <x:c r="G19" s="42" t="str">
        <x:v>按樓價比例，需按報價修改。</x:v>
      </x:c>
      <x:c r="H19" s="3"/>
      <x:c r="I19" s="3"/>
      <x:c r="J19" s="35" t="n">
        <x:f>IF(ISNUMBER(D19),IF(AND(ISNUMBER(D19),D19&gt;=0),1,0),0)</x:f>
        <x:v>1</x:v>
      </x:c>
      <x:c r="K19" s="35" t="n">
        <x:f>IF(ISNUMBER(F19),IF(AND(ISNUMBER(F19),F19&gt;=0),1,0),0)</x:f>
        <x:v>1</x:v>
      </x:c>
    </x:row>
    <x:row r="20" ht="31" customHeight="1">
      <x:c r="A20" s="2"/>
      <x:c r="B20" s="2" t="str">
        <x:v>買入律師及雜費</x:v>
      </x:c>
      <x:c r="C20" s="2" t="str">
        <x:v>HKD</x:v>
      </x:c>
      <x:c r="D20" s="12" t="n">
        <x:v>15000</x:v>
      </x:c>
      <x:c r="E20" s="12"/>
      <x:c r="F20" s="35" t="n">
        <x:f>IF(ISBLANK(E20),D20,E20)</x:f>
        <x:v>15000</x:v>
      </x:c>
      <x:c r="G20" s="42" t="str">
        <x:v>預算含相關轉讓契固定 $100，不重複加 AVD。</x:v>
      </x:c>
      <x:c r="H20" s="3"/>
      <x:c r="I20" s="3"/>
      <x:c r="J20" s="35" t="n">
        <x:f>IF(ISNUMBER(D20),IF(AND(ISNUMBER(D20),D20&gt;=0),1,0),0)</x:f>
        <x:v>1</x:v>
      </x:c>
      <x:c r="K20" s="35" t="n">
        <x:f>IF(ISNUMBER(F20),IF(AND(ISNUMBER(F20),F20&gt;=0),1,0),0)</x:f>
        <x:v>1</x:v>
      </x:c>
    </x:row>
    <x:row r="21" ht="31" customHeight="1">
      <x:c r="A21" s="2"/>
      <x:c r="B21" s="2" t="str">
        <x:v>出售代理佣金</x:v>
      </x:c>
      <x:c r="C21" s="2" t="str">
        <x:v>%</x:v>
      </x:c>
      <x:c r="D21" s="36" t="n">
        <x:v>0.01</x:v>
      </x:c>
      <x:c r="E21" s="36"/>
      <x:c r="F21" s="37" t="n">
        <x:f>IF(ISBLANK(E21),D21,E21)</x:f>
        <x:v>0.01</x:v>
      </x:c>
      <x:c r="G21" s="42" t="str">
        <x:v>按售價比例，需低於 100%。</x:v>
      </x:c>
      <x:c r="H21" s="3"/>
      <x:c r="I21" s="3"/>
      <x:c r="J21" s="35" t="n">
        <x:f>IF(ISNUMBER(D21),IF(AND(ISNUMBER(D21),D21&gt;=0,D21&lt;1),1,0),0)</x:f>
        <x:v>1</x:v>
      </x:c>
      <x:c r="K21" s="35" t="n">
        <x:f>IF(ISNUMBER(F21),IF(AND(ISNUMBER(F21),F21&gt;=0,F21&lt;1),1,0),0)</x:f>
        <x:v>1</x:v>
      </x:c>
    </x:row>
    <x:row r="22" ht="31" customHeight="1">
      <x:c r="A22" s="2"/>
      <x:c r="B22" s="2" t="str">
        <x:v>出售律師及雜費</x:v>
      </x:c>
      <x:c r="C22" s="2" t="str">
        <x:v>HKD</x:v>
      </x:c>
      <x:c r="D22" s="12" t="n">
        <x:v>15000</x:v>
      </x:c>
      <x:c r="E22" s="12"/>
      <x:c r="F22" s="35" t="n">
        <x:f>IF(ISBLANK(E22),D22,E22)</x:f>
        <x:v>15000</x:v>
      </x:c>
      <x:c r="G22" s="42" t="str">
        <x:v>固定預算。</x:v>
      </x:c>
      <x:c r="H22" s="3"/>
      <x:c r="I22" s="3"/>
      <x:c r="J22" s="35" t="n">
        <x:f>IF(ISNUMBER(D22),IF(AND(ISNUMBER(D22),D22&gt;=0),1,0),0)</x:f>
        <x:v>1</x:v>
      </x:c>
      <x:c r="K22" s="35" t="n">
        <x:f>IF(ISNUMBER(F22),IF(AND(ISNUMBER(F22),F22&gt;=0),1,0),0)</x:f>
        <x:v>1</x:v>
      </x:c>
    </x:row>
    <x:row r="23" ht="31" customHeight="1">
      <x:c r="A23" s="2"/>
      <x:c r="B23" s="2" t="str">
        <x:v>每年管理費</x:v>
      </x:c>
      <x:c r="C23" s="2" t="str">
        <x:v>HKD</x:v>
      </x:c>
      <x:c r="D23" s="12" t="n">
        <x:v>12000</x:v>
      </x:c>
      <x:c r="E23" s="12"/>
      <x:c r="F23" s="35" t="n">
        <x:f>IF(ISBLANK(E23),D23,E23)</x:f>
        <x:v>12000</x:v>
      </x:c>
      <x:c r="G23" s="42" t="str">
        <x:v>全年成本，空置期間不停止。</x:v>
      </x:c>
      <x:c r="H23" s="3"/>
      <x:c r="I23" s="3"/>
      <x:c r="J23" s="35" t="n">
        <x:f>IF(ISNUMBER(D23),IF(AND(ISNUMBER(D23),D23&gt;=0),1,0),0)</x:f>
        <x:v>1</x:v>
      </x:c>
      <x:c r="K23" s="35" t="n">
        <x:f>IF(ISNUMBER(F23),IF(AND(ISNUMBER(F23),F23&gt;=0),1,0),0)</x:f>
        <x:v>1</x:v>
      </x:c>
    </x:row>
    <x:row r="24" ht="31" customHeight="1">
      <x:c r="A24" s="2"/>
      <x:c r="B24" s="2" t="str">
        <x:v>正式 RV 覆蓋值（可留白）</x:v>
      </x:c>
      <x:c r="C24" s="2" t="str">
        <x:v>HKD</x:v>
      </x:c>
      <x:c r="D24" s="12"/>
      <x:c r="E24" s="12"/>
      <x:c r="F24" s="35" t="str">
        <x:f>IF(ISBLANK(E24),IF(ISBLANK(D24),"",D24),E24)</x:f>
      </x:c>
      <x:c r="G24" s="42" t="str">
        <x:v>留白用月租 × 12；填 0 表示確實為零。</x:v>
      </x:c>
      <x:c r="H24" s="3"/>
      <x:c r="I24" s="3"/>
      <x:c r="J24" s="35" t="n">
        <x:f>IF(ISNUMBER(D24),IF(OR(D24="",AND(ISNUMBER(D24),D24&gt;=0)),1,0),IF(D24="",1,0))</x:f>
        <x:v>1</x:v>
      </x:c>
      <x:c r="K24" s="35" t="n">
        <x:f>IF(ISNUMBER(F24),IF(OR(F24="",AND(ISNUMBER(F24),F24&gt;=0)),1,0),IF(F24="",1,0))</x:f>
        <x:v>1</x:v>
      </x:c>
    </x:row>
    <x:row r="25" ht="31" customHeight="1">
      <x:c r="A25" s="2"/>
      <x:c r="B25" s="2" t="str">
        <x:v>地租佔 RV 比例</x:v>
      </x:c>
      <x:c r="C25" s="2" t="str">
        <x:v>%</x:v>
      </x:c>
      <x:c r="D25" s="36" t="n">
        <x:v>0.03</x:v>
      </x:c>
      <x:c r="E25" s="36"/>
      <x:c r="F25" s="37" t="n">
        <x:f>IF(ISBLANK(E25),D25,E25)</x:f>
        <x:v>0.03</x:v>
      </x:c>
      <x:c r="G25" s="42" t="str">
        <x:v>只適用相關地契；不適用可填 0。</x:v>
      </x:c>
      <x:c r="H25" s="3"/>
      <x:c r="I25" s="3"/>
      <x:c r="J25" s="35" t="n">
        <x:f>IF(ISNUMBER(D25),IF(AND(ISNUMBER(D25),D25&gt;=0),1,0),0)</x:f>
        <x:v>1</x:v>
      </x:c>
      <x:c r="K25" s="35" t="n">
        <x:f>IF(ISNUMBER(F25),IF(AND(ISNUMBER(F25),F25&gt;=0),1,0),0)</x:f>
        <x:v>1</x:v>
      </x:c>
    </x:row>
    <x:row r="26" ht="31" customHeight="1">
      <x:c r="A26" s="2"/>
      <x:c r="B26" s="2" t="str">
        <x:v>每年保險</x:v>
      </x:c>
      <x:c r="C26" s="2" t="str">
        <x:v>HKD</x:v>
      </x:c>
      <x:c r="D26" s="12" t="n">
        <x:v>2500</x:v>
      </x:c>
      <x:c r="E26" s="12"/>
      <x:c r="F26" s="35" t="n">
        <x:f>IF(ISBLANK(E26),D26,E26)</x:f>
        <x:v>2500</x:v>
      </x:c>
      <x:c r="G26" s="42" t="str">
        <x:v>沿用預算，須核實出租保障。</x:v>
      </x:c>
      <x:c r="H26" s="3"/>
      <x:c r="I26" s="3"/>
      <x:c r="J26" s="35" t="n">
        <x:f>IF(ISNUMBER(D26),IF(AND(ISNUMBER(D26),D26&gt;=0),1,0),0)</x:f>
        <x:v>1</x:v>
      </x:c>
      <x:c r="K26" s="35" t="n">
        <x:f>IF(ISNUMBER(F26),IF(AND(ISNUMBER(F26),F26&gt;=0),1,0),0)</x:f>
        <x:v>1</x:v>
      </x:c>
    </x:row>
    <x:row r="27" ht="31" customHeight="1">
      <x:c r="A27" s="2"/>
      <x:c r="B27" s="2" t="str">
        <x:v>每年日常維修</x:v>
      </x:c>
      <x:c r="C27" s="2" t="str">
        <x:v>HKD</x:v>
      </x:c>
      <x:c r="D27" s="12" t="n">
        <x:v>8000</x:v>
      </x:c>
      <x:c r="E27" s="12"/>
      <x:c r="F27" s="35" t="n">
        <x:f>IF(ISBLANK(E27),D27,E27)</x:f>
        <x:v>8000</x:v>
      </x:c>
      <x:c r="G27" s="42" t="str">
        <x:v>沿用固定預算。</x:v>
      </x:c>
      <x:c r="H27" s="3"/>
      <x:c r="I27" s="3"/>
      <x:c r="J27" s="35" t="n">
        <x:f>IF(ISNUMBER(D27),IF(AND(ISNUMBER(D27),D27&gt;=0),1,0),0)</x:f>
        <x:v>1</x:v>
      </x:c>
      <x:c r="K27" s="35" t="n">
        <x:f>IF(ISNUMBER(F27),IF(AND(ISNUMBER(F27),F27&gt;=0),1,0),0)</x:f>
        <x:v>1</x:v>
      </x:c>
    </x:row>
    <x:row r="28" ht="31" customHeight="1">
      <x:c r="A28" s="2"/>
      <x:c r="B28" s="2" t="str">
        <x:v>每年額外大修／更新支出</x:v>
      </x:c>
      <x:c r="C28" s="2" t="str">
        <x:v>HKD</x:v>
      </x:c>
      <x:c r="D28" s="12" t="n">
        <x:v>0</x:v>
      </x:c>
      <x:c r="E28" s="12"/>
      <x:c r="F28" s="35" t="n">
        <x:f>IF(ISBLANK(E28),D28,E28)</x:f>
        <x:v>0</x:v>
      </x:c>
      <x:c r="G28" s="42" t="str">
        <x:v>0＝未估，非風險為零；填入金額當作每年付款。</x:v>
      </x:c>
      <x:c r="H28" s="3"/>
      <x:c r="I28" s="3"/>
      <x:c r="J28" s="35" t="n">
        <x:f>IF(ISNUMBER(D28),IF(AND(ISNUMBER(D28),D28&gt;=0),1,0),0)</x:f>
        <x:v>1</x:v>
      </x:c>
      <x:c r="K28" s="35" t="n">
        <x:f>IF(ISNUMBER(F28),IF(AND(ISNUMBER(F28),F28&gt;=0),1,0),0)</x:f>
        <x:v>1</x:v>
      </x:c>
    </x:row>
    <x:row r="29" ht="31" customHeight="1">
      <x:c r="A29" s="2"/>
      <x:c r="B29" s="2" t="str">
        <x:v>每次招租佣金</x:v>
      </x:c>
      <x:c r="C29" s="2" t="str">
        <x:v>月租</x:v>
      </x:c>
      <x:c r="D29" s="38" t="n">
        <x:v>0.5</x:v>
      </x:c>
      <x:c r="E29" s="38"/>
      <x:c r="F29" s="39" t="n">
        <x:f>IF(ISBLANK(E29),D29,E29)</x:f>
        <x:v>0.5</x:v>
      </x:c>
      <x:c r="G29" s="42" t="str">
        <x:v>自動＝月租 × 此比例 × 當年簽約份數。</x:v>
      </x:c>
      <x:c r="H29" s="3"/>
      <x:c r="I29" s="3"/>
      <x:c r="J29" s="35" t="n">
        <x:f>IF(ISNUMBER(D29),IF(AND(ISNUMBER(D29),D29&gt;=0),1,0),0)</x:f>
        <x:v>1</x:v>
      </x:c>
      <x:c r="K29" s="35" t="n">
        <x:f>IF(ISNUMBER(F29),IF(AND(ISNUMBER(F29),F29&gt;=0),1,0),0)</x:f>
        <x:v>1</x:v>
      </x:c>
    </x:row>
    <x:row r="30" ht="31" customHeight="1">
      <x:c r="A30" s="2"/>
      <x:c r="B30" s="2" t="str">
        <x:v>租約期數</x:v>
      </x:c>
      <x:c r="C30" s="2" t="str">
        <x:v>月</x:v>
      </x:c>
      <x:c r="D30" s="12" t="n">
        <x:v>24</x:v>
      </x:c>
      <x:c r="E30" s="12"/>
      <x:c r="F30" s="35" t="n">
        <x:f>IF(ISBLANK(E30),D30,E30)</x:f>
        <x:v>24</x:v>
      </x:c>
      <x:c r="G30" s="42" t="str">
        <x:v>固定整月；自首年無租期後開始，按期續租。</x:v>
      </x:c>
      <x:c r="H30" s="3"/>
      <x:c r="I30" s="3"/>
      <x:c r="J30" s="35" t="n">
        <x:f>IF(ISNUMBER(D30),IF(AND(ISNUMBER(D30),D30&gt;=1,D30=INT(D30)),1,0),0)</x:f>
        <x:v>1</x:v>
      </x:c>
      <x:c r="K30" s="35" t="n">
        <x:f>IF(ISNUMBER(F30),IF(AND(ISNUMBER(F30),F30&gt;=1,F30=INT(F30)),1,0),0)</x:f>
        <x:v>1</x:v>
      </x:c>
    </x:row>
    <x:row r="31" ht="31" customHeight="1">
      <x:c r="A31" s="2"/>
      <x:c r="B31" s="2" t="str">
        <x:v>租約內免租期</x:v>
      </x:c>
      <x:c r="C31" s="2" t="str">
        <x:v>月</x:v>
      </x:c>
      <x:c r="D31" s="38" t="n">
        <x:v>0</x:v>
      </x:c>
      <x:c r="E31" s="38"/>
      <x:c r="F31" s="39" t="n">
        <x:f>IF(ISBLANK(E31),D31,E31)</x:f>
        <x:v>0</x:v>
      </x:c>
      <x:c r="G31" s="42" t="str">
        <x:v>只計印花；收租月數另由第 17／18 行控制。</x:v>
      </x:c>
      <x:c r="H31" s="3"/>
      <x:c r="I31" s="3"/>
      <x:c r="J31" s="35" t="n">
        <x:f>IF(ISNUMBER(D31),IF(AND(ISNUMBER(D31),D31&gt;=0,D31&lt;=D30),1,0),0)</x:f>
        <x:v>1</x:v>
      </x:c>
      <x:c r="K31" s="35" t="n">
        <x:f>IF(ISNUMBER(F31),IF(AND(ISNUMBER(F31),F31&gt;=0,F31&lt;=F30),1,0),0)</x:f>
        <x:v>1</x:v>
      </x:c>
    </x:row>
    <x:row r="32" ht="31" customHeight="1">
      <x:c r="A32" s="2"/>
      <x:c r="B32" s="2" t="str">
        <x:v>副本數</x:v>
      </x:c>
      <x:c r="C32" s="2" t="str">
        <x:v>份</x:v>
      </x:c>
      <x:c r="D32" s="12" t="n">
        <x:v>1</x:v>
      </x:c>
      <x:c r="E32" s="12"/>
      <x:c r="F32" s="35" t="n">
        <x:f>IF(ISBLANK(E32),D32,E32)</x:f>
        <x:v>1</x:v>
      </x:c>
      <x:c r="G32" s="42" t="str">
        <x:v>一份正本之外的副本／對應本。</x:v>
      </x:c>
      <x:c r="H32" s="3"/>
      <x:c r="I32" s="3"/>
      <x:c r="J32" s="35" t="n">
        <x:f>IF(ISNUMBER(D32),IF(AND(ISNUMBER(D32),D32&gt;=0,D32=INT(D32)),1,0),0)</x:f>
        <x:v>1</x:v>
      </x:c>
      <x:c r="K32" s="35" t="n">
        <x:f>IF(ISNUMBER(F32),IF(AND(ISNUMBER(F32),F32&gt;=0,F32=INT(F32)),1,0),0)</x:f>
        <x:v>1</x:v>
      </x:c>
    </x:row>
    <x:row r="33" ht="31" customHeight="1">
      <x:c r="A33" s="2"/>
      <x:c r="B33" s="2" t="str">
        <x:v>租約印花業主比例</x:v>
      </x:c>
      <x:c r="C33" s="2" t="str">
        <x:v>%</x:v>
      </x:c>
      <x:c r="D33" s="36" t="n">
        <x:v>0.5</x:v>
      </x:c>
      <x:c r="E33" s="36"/>
      <x:c r="F33" s="37" t="n">
        <x:f>IF(ISBLANK(E33),D33,E33)</x:f>
        <x:v>0.5</x:v>
      </x:c>
      <x:c r="G33" s="42" t="str">
        <x:v>普通租約分攤假設；受規管租約另核。</x:v>
      </x:c>
      <x:c r="H33" s="3"/>
      <x:c r="I33" s="3"/>
      <x:c r="J33" s="35" t="n">
        <x:f>IF(ISNUMBER(D33),IF(AND(ISNUMBER(D33),D33&gt;=0,D33&lt;=1),1,0),0)</x:f>
        <x:v>1</x:v>
      </x:c>
      <x:c r="K33" s="35" t="n">
        <x:f>IF(ISNUMBER(F33),IF(AND(ISNUMBER(F33),F33&gt;=0,F33&lt;=1),1,0),0)</x:f>
        <x:v>1</x:v>
      </x:c>
    </x:row>
    <x:row r="34" ht="31" customHeight="1">
      <x:c r="A34" s="2"/>
      <x:c r="B34" s="2" t="str">
        <x:v>清還費／退回回贈</x:v>
      </x:c>
      <x:c r="C34" s="2" t="str">
        <x:v>HKD</x:v>
      </x:c>
      <x:c r="D34" s="12" t="n">
        <x:v>0</x:v>
      </x:c>
      <x:c r="E34" s="12"/>
      <x:c r="F34" s="35" t="n">
        <x:f>IF(ISBLANK(E34),D34,E34)</x:f>
        <x:v>0</x:v>
      </x:c>
      <x:c r="G34" s="42" t="str">
        <x:v>只在出售時仍有貸款餘額時扣除。</x:v>
      </x:c>
      <x:c r="H34" s="3"/>
      <x:c r="I34" s="3"/>
      <x:c r="J34" s="35" t="n">
        <x:f>IF(ISNUMBER(D34),IF(AND(ISNUMBER(D34),D34&gt;=0),1,0),0)</x:f>
        <x:v>1</x:v>
      </x:c>
      <x:c r="K34" s="35" t="n">
        <x:f>IF(ISNUMBER(F34),IF(AND(ISNUMBER(F34),F34&gt;=0),1,0),0)</x:f>
        <x:v>1</x:v>
      </x:c>
    </x:row>
    <x:row r="35" ht="31" customHeight="1">
      <x:c r="A35" s="2"/>
      <x:c r="B35" s="2" t="str">
        <x:v>首年差餉可扣稅比例</x:v>
      </x:c>
      <x:c r="C35" s="2" t="str">
        <x:v>%</x:v>
      </x:c>
      <x:c r="D35" s="36" t="n">
        <x:v>1</x:v>
      </x:c>
      <x:c r="E35" s="36"/>
      <x:c r="F35" s="37" t="n">
        <x:f>IF(ISBLANK(E35),D35,E35)</x:f>
        <x:v>1</x:v>
      </x:c>
      <x:c r="G35" s="42" t="str">
        <x:v>原模型 100% 假設；按實際出租期及繳款核對。</x:v>
      </x:c>
      <x:c r="H35" s="3"/>
      <x:c r="I35" s="3"/>
      <x:c r="J35" s="35" t="n">
        <x:f>IF(ISNUMBER(D35),IF(AND(ISNUMBER(D35),D35&gt;=0,D35&lt;=1),1,0),0)</x:f>
        <x:v>1</x:v>
      </x:c>
      <x:c r="K35" s="35" t="n">
        <x:f>IF(ISNUMBER(F35),IF(AND(ISNUMBER(F35),F35&gt;=0,F35&lt;=1),1,0),0)</x:f>
        <x:v>1</x:v>
      </x:c>
    </x:row>
    <x:row r="36" ht="31" customHeight="1">
      <x:c r="A36" s="2"/>
      <x:c r="B36" s="2" t="str">
        <x:v>較高評定價值（如有）</x:v>
      </x:c>
      <x:c r="C36" s="2" t="str">
        <x:v>HKD</x:v>
      </x:c>
      <x:c r="D36" s="12" t="n">
        <x:v>0</x:v>
      </x:c>
      <x:c r="E36" s="12"/>
      <x:c r="F36" s="35" t="n">
        <x:f>IF(ISBLANK(E36),D36,E36)</x:f>
        <x:v>0</x:v>
      </x:c>
      <x:c r="G36" s="42" t="str">
        <x:v>AVD 以買價與此值較高者計，未知可先填 0。</x:v>
      </x:c>
      <x:c r="H36" s="3"/>
      <x:c r="I36" s="3"/>
      <x:c r="J36" s="35" t="n">
        <x:f>IF(ISNUMBER(D36),IF(AND(ISNUMBER(D36),D36&gt;=0),1,0),0)</x:f>
        <x:v>1</x:v>
      </x:c>
      <x:c r="K36" s="35" t="n">
        <x:f>IF(ISNUMBER(F36),IF(AND(ISNUMBER(F36),F36&gt;=0),1,0),0)</x:f>
        <x:v>1</x:v>
      </x:c>
    </x:row>
    <x:row r="37" ht="31" customHeight="1">
      <x:c r="A37" s="2"/>
      <x:c r="B37" s="2" t="str">
        <x:v>普通物業稅率</x:v>
      </x:c>
      <x:c r="C37" s="2"/>
      <x:c r="D37" s="40" t="n">
        <x:f>'來源與稅表'!D34</x:f>
        <x:v>0.15</x:v>
      </x:c>
      <x:c r="E37" s="3"/>
      <x:c r="F37" s="40" t="n">
        <x:f>'來源與稅表'!D34</x:f>
        <x:v>0.15</x:v>
      </x:c>
      <x:c r="G37" s="42"/>
      <x:c r="H37" s="3"/>
      <x:c r="I37" s="3"/>
      <x:c r="J37" s="3"/>
      <x:c r="K37" s="3"/>
    </x:row>
    <x:row r="38" ht="31" customHeight="1">
      <x:c r="A38" s="2"/>
      <x:c r="B38" s="2" t="str">
        <x:v>法定修葺支出扣減</x:v>
      </x:c>
      <x:c r="C38" s="2"/>
      <x:c r="D38" s="40" t="n">
        <x:f>'來源與稅表'!D35</x:f>
        <x:v>0.2</x:v>
      </x:c>
      <x:c r="E38" s="3"/>
      <x:c r="F38" s="40" t="n">
        <x:f>'來源與稅表'!D35</x:f>
        <x:v>0.2</x:v>
      </x:c>
      <x:c r="G38" s="42"/>
      <x:c r="H38" s="3"/>
      <x:c r="I38" s="3"/>
      <x:c r="J38" s="3"/>
      <x:c r="K38" s="3"/>
    </x:row>
    <x:row r="39" ht="31" customHeight="1">
      <x:c r="A39" s="2"/>
      <x:c r="B39" s="2" t="str">
        <x:v>模型採用 RV</x:v>
      </x:c>
      <x:c r="C39" s="2"/>
      <x:c r="D39" s="35" t="n">
        <x:f>IF(ISBLANK(D24),D8*12,D24)</x:f>
        <x:v>204000</x:v>
      </x:c>
      <x:c r="E39" s="3"/>
      <x:c r="F39" s="35" t="n">
        <x:f>IF(ISNUMBER(F24),F24,F8*12)</x:f>
        <x:v>204000</x:v>
      </x:c>
      <x:c r="G39" s="42" t="str">
        <x:v>預設 RV＝月租 × 12，不是正式差餉租值。</x:v>
      </x:c>
      <x:c r="H39" s="3"/>
      <x:c r="I39" s="3"/>
      <x:c r="J39" s="3"/>
      <x:c r="K39" s="3"/>
    </x:row>
    <x:row r="40" ht="31" customHeight="1">
      <x:c r="A40" s="2"/>
      <x:c r="B40" s="2" t="str">
        <x:v>輸入有效（1＝可計算）</x:v>
      </x:c>
      <x:c r="C40" s="2"/>
      <x:c r="D40" s="34" t="n">
        <x:f>IF(AND(COUNT('計算機'!D7:D9)=3,SUM(J7:J36)=28,SUM(J83:J92)=10,SUM(J99:J108)=10,COUNT(D65:D74)=10,MIN(D65:D74)&gt;=0),1,0)</x:f>
        <x:v>1</x:v>
      </x:c>
      <x:c r="E40" s="3"/>
      <x:c r="F40" s="34" t="n">
        <x:f>IF(AND(COUNT('計算機'!D7:D9)=3,SUM(K7:K36)=28,SUM(K83:K92)=10,SUM(K99:K108)=10,COUNT(F65:F74)=10,MIN(F65:F74)&gt;=0),1,0)</x:f>
        <x:v>1</x:v>
      </x:c>
      <x:c r="G40" s="42"/>
      <x:c r="H40" s="3"/>
      <x:c r="I40" s="3"/>
      <x:c r="J40" s="3"/>
      <x:c r="K40" s="3"/>
    </x:row>
    <x:row r="41" ht="23" customHeight="1">
      <x:c r="A41" s="2"/>
      <x:c r="B41" s="2"/>
      <x:c r="C41" s="2"/>
      <x:c r="D41" s="3"/>
      <x:c r="E41" s="3"/>
      <x:c r="F41" s="3"/>
      <x:c r="G41" s="42"/>
      <x:c r="H41" s="3"/>
      <x:c r="I41" s="3"/>
      <x:c r="J41" s="3"/>
      <x:c r="K41" s="3"/>
    </x:row>
    <x:row r="42" ht="24" customHeight="1">
      <x:c r="A42" s="2"/>
      <x:c r="B42" s="10" t="str">
        <x:v>自動計算</x:v>
      </x:c>
      <x:c r="C42" s="10"/>
      <x:c r="D42" s="21"/>
      <x:c r="E42" s="21"/>
      <x:c r="F42" s="21"/>
      <x:c r="G42" s="43"/>
      <x:c r="H42" s="3"/>
      <x:c r="I42" s="3"/>
      <x:c r="J42" s="3"/>
      <x:c r="K42" s="3"/>
    </x:row>
    <x:row r="43" ht="23" customHeight="1">
      <x:c r="A43" s="2"/>
      <x:c r="B43" s="2" t="str">
        <x:v>貸款額</x:v>
      </x:c>
      <x:c r="C43" s="2"/>
      <x:c r="D43" s="35" t="n">
        <x:f>D7*D12</x:f>
        <x:v>2800000</x:v>
      </x:c>
      <x:c r="E43" s="3"/>
      <x:c r="F43" s="35" t="n">
        <x:f>F7*F12</x:f>
        <x:v>2800000</x:v>
      </x:c>
      <x:c r="G43" s="42"/>
      <x:c r="H43" s="3"/>
      <x:c r="I43" s="3"/>
      <x:c r="J43" s="3"/>
      <x:c r="K43" s="3"/>
    </x:row>
    <x:row r="44" ht="23" customHeight="1">
      <x:c r="A44" s="2"/>
      <x:c r="B44" s="2" t="str">
        <x:v>每月按揭供款</x:v>
      </x:c>
      <x:c r="C44" s="2"/>
      <x:c r="D44" s="41" t="n">
        <x:f>IF(D43=0,0,IF(D13=0,D43/(D14*12),-PMT(D13/12,D14*12,D43)))</x:f>
        <x:v>15528.732739909537</x:v>
      </x:c>
      <x:c r="E44" s="3"/>
      <x:c r="F44" s="41" t="n">
        <x:f>IF(F43=0,0,IF(F13=0,F43/(F14*12),-PMT(F13/12,F14*12,F43)))</x:f>
        <x:v>15528.732739909537</x:v>
      </x:c>
      <x:c r="G44" s="42"/>
      <x:c r="H44" s="3"/>
      <x:c r="I44" s="3"/>
      <x:c r="J44" s="3"/>
      <x:c r="K44" s="3"/>
    </x:row>
    <x:row r="45" ht="23" customHeight="1">
      <x:c r="A45" s="2"/>
      <x:c r="B45" s="2" t="str">
        <x:v>AVD 計稅值</x:v>
      </x:c>
      <x:c r="C45" s="2"/>
      <x:c r="D45" s="35" t="n">
        <x:f>MAX(D7,D36)</x:f>
        <x:v>4000000</x:v>
      </x:c>
      <x:c r="E45" s="3"/>
      <x:c r="F45" s="35" t="n">
        <x:f>MAX(F7,F36)</x:f>
        <x:v>4000000</x:v>
      </x:c>
      <x:c r="G45" s="42"/>
      <x:c r="H45" s="3"/>
      <x:c r="I45" s="3"/>
      <x:c r="J45" s="3"/>
      <x:c r="K45" s="3"/>
    </x:row>
    <x:row r="46" ht="23" customHeight="1">
      <x:c r="A46" s="2"/>
      <x:c r="B46" s="2" t="str">
        <x:v>買入 AVD</x:v>
      </x:c>
      <x:c r="C46" s="2"/>
      <x:c r="D46" s="34" t="n">
        <x:f>ROUNDUP(IF(D45&lt;='來源與稅表'!B12,'來源與稅表'!C12+(D45-'來源與稅表'!D12)*'來源與稅表'!E12,IF(D45&lt;='來源與稅表'!B13,'來源與稅表'!C13+(D45-'來源與稅表'!D13)*'來源與稅表'!E13,IF(D45&lt;='來源與稅表'!B14,'來源與稅表'!C14+(D45-'來源與稅表'!D14)*'來源與稅表'!E14,IF(D45&lt;='來源與稅表'!B15,'來源與稅表'!C15+(D45-'來源與稅表'!D15)*'來源與稅表'!E15,IF(D45&lt;='來源與稅表'!B16,'來源與稅表'!C16+(D45-'來源與稅表'!D16)*'來源與稅表'!E16,IF(D45&lt;='來源與稅表'!B17,'來源與稅表'!C17+(D45-'來源與稅表'!D17)*'來源與稅表'!E17,IF(D45&lt;='來源與稅表'!B18,'來源與稅表'!C18+(D45-'來源與稅表'!D18)*'來源與稅表'!E18,IF(D45&lt;='來源與稅表'!B19,'來源與稅表'!C19+(D45-'來源與稅表'!D19)*'來源與稅表'!E19,IF(D45&lt;='來源與稅表'!B20,'來源與稅表'!C20+(D45-'來源與稅表'!D20)*'來源與稅表'!E20,IF(D45&lt;='來源與稅表'!B21,'來源與稅表'!C21+(D45-'來源與稅表'!D21)*'來源與稅表'!E21,IF(D45&lt;='來源與稅表'!B22,'來源與稅表'!C22+(D45-'來源與稅表'!D22)*'來源與稅表'!E22,IF(D45&lt;='來源與稅表'!B23,'來源與稅表'!C23+(D45-'來源與稅表'!D23)*'來源與稅表'!E23,'來源與稅表'!C24+(D45-'來源與稅表'!D24)*'來源與稅表'!E24)))))))))))),0)</x:f>
        <x:v>100</x:v>
      </x:c>
      <x:c r="E46" s="3"/>
      <x:c r="F46" s="34" t="n">
        <x:f>ROUNDUP(IF(F45&lt;='來源與稅表'!B12,'來源與稅表'!C12+(F45-'來源與稅表'!D12)*'來源與稅表'!E12,IF(F45&lt;='來源與稅表'!B13,'來源與稅表'!C13+(F45-'來源與稅表'!D13)*'來源與稅表'!E13,IF(F45&lt;='來源與稅表'!B14,'來源與稅表'!C14+(F45-'來源與稅表'!D14)*'來源與稅表'!E14,IF(F45&lt;='來源與稅表'!B15,'來源與稅表'!C15+(F45-'來源與稅表'!D15)*'來源與稅表'!E15,IF(F45&lt;='來源與稅表'!B16,'來源與稅表'!C16+(F45-'來源與稅表'!D16)*'來源與稅表'!E16,IF(F45&lt;='來源與稅表'!B17,'來源與稅表'!C17+(F45-'來源與稅表'!D17)*'來源與稅表'!E17,IF(F45&lt;='來源與稅表'!B18,'來源與稅表'!C18+(F45-'來源與稅表'!D18)*'來源與稅表'!E18,IF(F45&lt;='來源與稅表'!B19,'來源與稅表'!C19+(F45-'來源與稅表'!D19)*'來源與稅表'!E19,IF(F45&lt;='來源與稅表'!B20,'來源與稅表'!C20+(F45-'來源與稅表'!D20)*'來源與稅表'!E20,IF(F45&lt;='來源與稅表'!B21,'來源與稅表'!C21+(F45-'來源與稅表'!D21)*'來源與稅表'!E21,IF(F45&lt;='來源與稅表'!B22,'來源與稅表'!C22+(F45-'來源與稅表'!D22)*'來源與稅表'!E22,IF(F45&lt;='來源與稅表'!B23,'來源與稅表'!C23+(F45-'來源與稅表'!D23)*'來源與稅表'!E23,'來源與稅表'!C24+(F45-'來源與稅表'!D24)*'來源與稅表'!E24)))))))))))),0)</x:f>
        <x:v>100</x:v>
      </x:c>
      <x:c r="G46" s="42"/>
      <x:c r="H46" s="3"/>
      <x:c r="I46" s="3"/>
      <x:c r="J46" s="3"/>
      <x:c r="K46" s="3"/>
    </x:row>
    <x:row r="47" ht="23" customHeight="1">
      <x:c r="A47" s="2"/>
      <x:c r="B47" s="2" t="str">
        <x:v>全年差餉（未扣寬減）</x:v>
      </x:c>
      <x:c r="C47" s="2"/>
      <x:c r="D47" s="35" t="n">
        <x:f>MIN(D39,550000)*5%+MIN(MAX(D39-550000,0),250000)*8%+MAX(D39-800000,0)*12%</x:f>
        <x:v>10200</x:v>
      </x:c>
      <x:c r="E47" s="3"/>
      <x:c r="F47" s="35" t="n">
        <x:f>MIN(F39,550000)*5%+MIN(MAX(F39-550000,0),250000)*8%+MAX(F39-800000,0)*12%</x:f>
        <x:v>10200</x:v>
      </x:c>
      <x:c r="G47" s="42"/>
      <x:c r="H47" s="3"/>
      <x:c r="I47" s="3"/>
      <x:c r="J47" s="3"/>
      <x:c r="K47" s="3"/>
    </x:row>
    <x:row r="48" ht="23" customHeight="1">
      <x:c r="A48" s="2"/>
      <x:c r="B48" s="2" t="str">
        <x:v>全年地租</x:v>
      </x:c>
      <x:c r="C48" s="2"/>
      <x:c r="D48" s="35" t="n">
        <x:f>D39*D25</x:f>
        <x:v>6120</x:v>
      </x:c>
      <x:c r="E48" s="3"/>
      <x:c r="F48" s="35" t="n">
        <x:f>F39*F25</x:f>
        <x:v>6120</x:v>
      </x:c>
      <x:c r="G48" s="42"/>
      <x:c r="H48" s="3"/>
      <x:c r="I48" s="3"/>
      <x:c r="J48" s="3"/>
      <x:c r="K48" s="3"/>
    </x:row>
    <x:row r="49" ht="23" customHeight="1">
      <x:c r="A49" s="2"/>
      <x:c r="B49" s="2" t="str">
        <x:v>全現金初始投入</x:v>
      </x:c>
      <x:c r="C49" s="2"/>
      <x:c r="D49" s="35" t="n">
        <x:f>SUM(D7,D9,D46,D7*D19,D20)</x:f>
        <x:v>4355100</x:v>
      </x:c>
      <x:c r="E49" s="3"/>
      <x:c r="F49" s="35" t="n">
        <x:f>SUM(F7,F9,F46,F7*F19,F20)</x:f>
        <x:v>4355100</x:v>
      </x:c>
      <x:c r="G49" s="42"/>
      <x:c r="H49" s="3"/>
      <x:c r="I49" s="3"/>
      <x:c r="J49" s="3"/>
      <x:c r="K49" s="3"/>
    </x:row>
    <x:row r="50" ht="23" customHeight="1">
      <x:c r="A50" s="2"/>
      <x:c r="B50" s="2" t="str">
        <x:v>按揭初始自有資金</x:v>
      </x:c>
      <x:c r="C50" s="2"/>
      <x:c r="D50" s="35" t="n">
        <x:f>D49-D43</x:f>
        <x:v>1555100</x:v>
      </x:c>
      <x:c r="E50" s="3"/>
      <x:c r="F50" s="35" t="n">
        <x:f>F49-F43</x:f>
        <x:v>1555100</x:v>
      </x:c>
      <x:c r="G50" s="42"/>
      <x:c r="H50" s="3"/>
      <x:c r="I50" s="3"/>
      <x:c r="J50" s="3"/>
      <x:c r="K50" s="3"/>
    </x:row>
    <x:row r="51" ht="23" customHeight="1">
      <x:c r="A51" s="2"/>
      <x:c r="B51" s="2" t="str">
        <x:v>租約全期應付租金</x:v>
      </x:c>
      <x:c r="C51" s="2"/>
      <x:c r="D51" s="35" t="n">
        <x:f>D8*(D30-D31)</x:f>
        <x:v>408000</x:v>
      </x:c>
      <x:c r="E51" s="3"/>
      <x:c r="F51" s="35" t="n">
        <x:f>F8*(F30-F31)</x:f>
        <x:v>408000</x:v>
      </x:c>
      <x:c r="G51" s="42"/>
      <x:c r="H51" s="3"/>
      <x:c r="I51" s="3"/>
      <x:c r="J51" s="3"/>
      <x:c r="K51" s="3"/>
    </x:row>
    <x:row r="52" ht="23" customHeight="1">
      <x:c r="A52" s="2"/>
      <x:c r="B52" s="2" t="str">
        <x:v>租約稅基（進位前）</x:v>
      </x:c>
      <x:c r="C52" s="2"/>
      <x:c r="D52" s="35" t="n">
        <x:f>IF(D30&lt;=12,D51,D51*12/D30)</x:f>
        <x:v>204000</x:v>
      </x:c>
      <x:c r="E52" s="3"/>
      <x:c r="F52" s="35" t="n">
        <x:f>IF(F30&lt;=12,F51,F51*12/F30)</x:f>
        <x:v>204000</x:v>
      </x:c>
      <x:c r="G52" s="42"/>
      <x:c r="H52" s="3"/>
      <x:c r="I52" s="3"/>
      <x:c r="J52" s="3"/>
      <x:c r="K52" s="3"/>
    </x:row>
    <x:row r="53" ht="23" customHeight="1">
      <x:c r="A53" s="2"/>
      <x:c r="B53" s="2" t="str">
        <x:v>租約稅基（向上整百）</x:v>
      </x:c>
      <x:c r="C53" s="2"/>
      <x:c r="D53" s="35" t="n">
        <x:f>ROUNDUP(D52/100,0)*100</x:f>
        <x:v>204000</x:v>
      </x:c>
      <x:c r="E53" s="3"/>
      <x:c r="F53" s="35" t="n">
        <x:f>ROUNDUP(F52/100,0)*100</x:f>
        <x:v>204000</x:v>
      </x:c>
      <x:c r="G53" s="42"/>
      <x:c r="H53" s="3"/>
      <x:c r="I53" s="3"/>
      <x:c r="J53" s="3"/>
      <x:c r="K53" s="3"/>
    </x:row>
    <x:row r="54" ht="23" customHeight="1">
      <x:c r="A54" s="2"/>
      <x:c r="B54" s="2" t="str">
        <x:v>租約適用稅率</x:v>
      </x:c>
      <x:c r="C54" s="2"/>
      <x:c r="D54" s="40" t="n">
        <x:f>IF(D30&lt;=12,'來源與稅表'!D30,IF(D30&lt;=36,'來源與稅表'!D31,'來源與稅表'!D32))</x:f>
        <x:v>0.005</x:v>
      </x:c>
      <x:c r="E54" s="3"/>
      <x:c r="F54" s="40" t="n">
        <x:f>IF(F30&lt;=12,'來源與稅表'!D30,IF(F30&lt;=36,'來源與稅表'!D31,'來源與稅表'!D32))</x:f>
        <x:v>0.005</x:v>
      </x:c>
      <x:c r="G54" s="42"/>
      <x:c r="H54" s="3"/>
      <x:c r="I54" s="3"/>
      <x:c r="J54" s="3"/>
      <x:c r="K54" s="3"/>
    </x:row>
    <x:row r="55" ht="23" customHeight="1">
      <x:c r="A55" s="2"/>
      <x:c r="B55" s="2" t="str">
        <x:v>正本租約印花稅</x:v>
      </x:c>
      <x:c r="C55" s="2"/>
      <x:c r="D55" s="35" t="n">
        <x:f>ROUNDUP(D53*D54,0)</x:f>
        <x:v>1020</x:v>
      </x:c>
      <x:c r="E55" s="3"/>
      <x:c r="F55" s="35" t="n">
        <x:f>ROUNDUP(F53*F54,0)</x:f>
        <x:v>1020</x:v>
      </x:c>
      <x:c r="G55" s="42"/>
      <x:c r="H55" s="3"/>
      <x:c r="I55" s="3"/>
      <x:c r="J55" s="3"/>
      <x:c r="K55" s="3"/>
    </x:row>
    <x:row r="56" ht="23" customHeight="1">
      <x:c r="A56" s="2"/>
      <x:c r="B56" s="2" t="str">
        <x:v>副本稅合計</x:v>
      </x:c>
      <x:c r="C56" s="2"/>
      <x:c r="D56" s="35" t="n">
        <x:f>MIN(5,D55)*D32</x:f>
        <x:v>5</x:v>
      </x:c>
      <x:c r="E56" s="3"/>
      <x:c r="F56" s="35" t="n">
        <x:f>MIN(5,F55)*F32</x:f>
        <x:v>5</x:v>
      </x:c>
      <x:c r="G56" s="42"/>
      <x:c r="H56" s="3"/>
      <x:c r="I56" s="3"/>
      <x:c r="J56" s="3"/>
      <x:c r="K56" s="3"/>
    </x:row>
    <x:row r="57" ht="23" customHeight="1">
      <x:c r="A57" s="2"/>
      <x:c r="B57" s="2" t="str">
        <x:v>每份租約業主負擔</x:v>
      </x:c>
      <x:c r="C57" s="2"/>
      <x:c r="D57" s="41" t="n">
        <x:f>ROUND((D55+D56)*D33,2)</x:f>
        <x:v>512.5</x:v>
      </x:c>
      <x:c r="E57" s="3"/>
      <x:c r="F57" s="41" t="n">
        <x:f>ROUND((F55+F56)*F33,2)</x:f>
        <x:v>512.5</x:v>
      </x:c>
      <x:c r="G57" s="42"/>
      <x:c r="H57" s="3"/>
      <x:c r="I57" s="3"/>
      <x:c r="J57" s="3"/>
      <x:c r="K57" s="3"/>
    </x:row>
    <x:row r="58" ht="23" customHeight="1">
      <x:c r="A58" s="2"/>
      <x:c r="B58" s="2"/>
      <x:c r="C58" s="2"/>
      <x:c r="D58" s="3"/>
      <x:c r="E58" s="3"/>
      <x:c r="F58" s="3"/>
      <x:c r="G58" s="42"/>
      <x:c r="H58" s="3"/>
      <x:c r="I58" s="3"/>
      <x:c r="J58" s="3"/>
      <x:c r="K58" s="3"/>
    </x:row>
    <x:row r="59" ht="23" customHeight="1">
      <x:c r="A59" s="2"/>
      <x:c r="B59" s="2"/>
      <x:c r="C59" s="2"/>
      <x:c r="D59" s="3"/>
      <x:c r="E59" s="3"/>
      <x:c r="F59" s="3"/>
      <x:c r="G59" s="42" t="str">
        <x:v>租約自動按月份計：首次＝首年無租月數，之後每隔租期續約。</x:v>
      </x:c>
      <x:c r="H59" s="3"/>
      <x:c r="I59" s="3"/>
      <x:c r="J59" s="3"/>
      <x:c r="K59" s="3"/>
    </x:row>
    <x:row r="60" ht="23" customHeight="1">
      <x:c r="A60" s="2"/>
      <x:c r="B60" s="2"/>
      <x:c r="C60" s="2"/>
      <x:c r="D60" s="3"/>
      <x:c r="E60" s="3"/>
      <x:c r="F60" s="3"/>
      <x:c r="G60" s="42" t="str">
        <x:v>全年無租時自動簽約為零；已知實際份數可在下方逐年覆蓋。</x:v>
      </x:c>
      <x:c r="H60" s="3"/>
      <x:c r="I60" s="3"/>
      <x:c r="J60" s="3"/>
      <x:c r="K60" s="3"/>
    </x:row>
    <x:row r="61" ht="23" customHeight="1">
      <x:c r="A61" s="2"/>
      <x:c r="B61" s="2"/>
      <x:c r="C61" s="2"/>
      <x:c r="D61" s="3"/>
      <x:c r="E61" s="3"/>
      <x:c r="F61" s="3"/>
      <x:c r="G61" s="42"/>
      <x:c r="H61" s="3"/>
      <x:c r="I61" s="3"/>
      <x:c r="J61" s="3"/>
      <x:c r="K61" s="3"/>
    </x:row>
    <x:row r="62" ht="23" customHeight="1">
      <x:c r="A62" s="2"/>
      <x:c r="B62" s="2"/>
      <x:c r="C62" s="2"/>
      <x:c r="D62" s="3"/>
      <x:c r="E62" s="3"/>
      <x:c r="F62" s="3"/>
      <x:c r="G62" s="42"/>
      <x:c r="H62" s="3"/>
      <x:c r="I62" s="3"/>
      <x:c r="J62" s="3"/>
      <x:c r="K62" s="3"/>
    </x:row>
    <x:row r="63" ht="24" customHeight="1">
      <x:c r="A63" s="2"/>
      <x:c r="B63" s="10" t="str">
        <x:v>額外工程（通常保持零）</x:v>
      </x:c>
      <x:c r="C63" s="10"/>
      <x:c r="D63" s="21"/>
      <x:c r="E63" s="21"/>
      <x:c r="F63" s="21"/>
      <x:c r="G63" s="43"/>
      <x:c r="H63" s="3"/>
      <x:c r="I63" s="3"/>
      <x:c r="J63" s="3"/>
      <x:c r="K63" s="3"/>
    </x:row>
    <x:row r="64" ht="23" customHeight="1">
      <x:c r="A64" s="2"/>
      <x:c r="B64" s="2"/>
      <x:c r="C64" s="2"/>
      <x:c r="D64" s="3"/>
      <x:c r="E64" s="3"/>
      <x:c r="F64" s="3"/>
      <x:c r="G64" s="42" t="str">
        <x:v>按付款年份填工程／特別集資，勿與維修、管理費重複。</x:v>
      </x:c>
      <x:c r="H64" s="3"/>
      <x:c r="I64" s="3"/>
      <x:c r="J64" s="3"/>
      <x:c r="K64" s="3"/>
    </x:row>
    <x:row r="65" ht="23" customHeight="1">
      <x:c r="A65" s="2"/>
      <x:c r="B65" s="2" t="str">
        <x:v>第 1 年額外工程</x:v>
      </x:c>
      <x:c r="C65" s="2"/>
      <x:c r="D65" s="12" t="n">
        <x:v>0</x:v>
      </x:c>
      <x:c r="E65" s="12"/>
      <x:c r="F65" s="35" t="n">
        <x:f>IF(ISBLANK(E65),D65,E65)</x:f>
        <x:v>0</x:v>
      </x:c>
      <x:c r="G65" s="42"/>
      <x:c r="H65" s="3"/>
      <x:c r="I65" s="3"/>
      <x:c r="J65" s="3"/>
      <x:c r="K65" s="3"/>
    </x:row>
    <x:row r="66" ht="23" customHeight="1">
      <x:c r="A66" s="2"/>
      <x:c r="B66" s="2" t="str">
        <x:v>第 2 年額外工程</x:v>
      </x:c>
      <x:c r="C66" s="2"/>
      <x:c r="D66" s="12" t="n">
        <x:v>0</x:v>
      </x:c>
      <x:c r="E66" s="12"/>
      <x:c r="F66" s="35" t="n">
        <x:f>IF(ISBLANK(E66),D66,E66)</x:f>
        <x:v>0</x:v>
      </x:c>
      <x:c r="G66" s="42"/>
      <x:c r="H66" s="3"/>
      <x:c r="I66" s="3"/>
      <x:c r="J66" s="3"/>
      <x:c r="K66" s="3"/>
    </x:row>
    <x:row r="67" ht="23" customHeight="1">
      <x:c r="A67" s="2"/>
      <x:c r="B67" s="2" t="str">
        <x:v>第 3 年額外工程</x:v>
      </x:c>
      <x:c r="C67" s="2"/>
      <x:c r="D67" s="12" t="n">
        <x:v>0</x:v>
      </x:c>
      <x:c r="E67" s="12"/>
      <x:c r="F67" s="35" t="n">
        <x:f>IF(ISBLANK(E67),D67,E67)</x:f>
        <x:v>0</x:v>
      </x:c>
      <x:c r="G67" s="42"/>
      <x:c r="H67" s="3"/>
      <x:c r="I67" s="3"/>
      <x:c r="J67" s="3"/>
      <x:c r="K67" s="3"/>
    </x:row>
    <x:row r="68" ht="23" customHeight="1">
      <x:c r="A68" s="2"/>
      <x:c r="B68" s="2" t="str">
        <x:v>第 4 年額外工程</x:v>
      </x:c>
      <x:c r="C68" s="2"/>
      <x:c r="D68" s="12" t="n">
        <x:v>0</x:v>
      </x:c>
      <x:c r="E68" s="12"/>
      <x:c r="F68" s="35" t="n">
        <x:f>IF(ISBLANK(E68),D68,E68)</x:f>
        <x:v>0</x:v>
      </x:c>
      <x:c r="G68" s="42"/>
      <x:c r="H68" s="3"/>
      <x:c r="I68" s="3"/>
      <x:c r="J68" s="3"/>
      <x:c r="K68" s="3"/>
    </x:row>
    <x:row r="69" ht="23" customHeight="1">
      <x:c r="A69" s="2"/>
      <x:c r="B69" s="2" t="str">
        <x:v>第 5 年額外工程</x:v>
      </x:c>
      <x:c r="C69" s="2"/>
      <x:c r="D69" s="12" t="n">
        <x:v>0</x:v>
      </x:c>
      <x:c r="E69" s="12"/>
      <x:c r="F69" s="35" t="n">
        <x:f>IF(ISBLANK(E69),D69,E69)</x:f>
        <x:v>0</x:v>
      </x:c>
      <x:c r="G69" s="42"/>
      <x:c r="H69" s="3"/>
      <x:c r="I69" s="3"/>
      <x:c r="J69" s="3"/>
      <x:c r="K69" s="3"/>
    </x:row>
    <x:row r="70" ht="23" customHeight="1">
      <x:c r="A70" s="2"/>
      <x:c r="B70" s="2" t="str">
        <x:v>第 6 年額外工程</x:v>
      </x:c>
      <x:c r="C70" s="2"/>
      <x:c r="D70" s="12" t="n">
        <x:v>0</x:v>
      </x:c>
      <x:c r="E70" s="12"/>
      <x:c r="F70" s="35" t="n">
        <x:f>IF(ISBLANK(E70),D70,E70)</x:f>
        <x:v>0</x:v>
      </x:c>
      <x:c r="G70" s="42"/>
      <x:c r="H70" s="3"/>
      <x:c r="I70" s="3"/>
      <x:c r="J70" s="3"/>
      <x:c r="K70" s="3"/>
    </x:row>
    <x:row r="71" ht="23" customHeight="1">
      <x:c r="A71" s="2"/>
      <x:c r="B71" s="2" t="str">
        <x:v>第 7 年額外工程</x:v>
      </x:c>
      <x:c r="C71" s="2"/>
      <x:c r="D71" s="12" t="n">
        <x:v>0</x:v>
      </x:c>
      <x:c r="E71" s="12"/>
      <x:c r="F71" s="35" t="n">
        <x:f>IF(ISBLANK(E71),D71,E71)</x:f>
        <x:v>0</x:v>
      </x:c>
      <x:c r="G71" s="42"/>
      <x:c r="H71" s="3"/>
      <x:c r="I71" s="3"/>
      <x:c r="J71" s="3"/>
      <x:c r="K71" s="3"/>
    </x:row>
    <x:row r="72" ht="23" customHeight="1">
      <x:c r="A72" s="2"/>
      <x:c r="B72" s="2" t="str">
        <x:v>第 8 年額外工程</x:v>
      </x:c>
      <x:c r="C72" s="2"/>
      <x:c r="D72" s="12" t="n">
        <x:v>0</x:v>
      </x:c>
      <x:c r="E72" s="12"/>
      <x:c r="F72" s="35" t="n">
        <x:f>IF(ISBLANK(E72),D72,E72)</x:f>
        <x:v>0</x:v>
      </x:c>
      <x:c r="G72" s="42"/>
      <x:c r="H72" s="3"/>
      <x:c r="I72" s="3"/>
      <x:c r="J72" s="3"/>
      <x:c r="K72" s="3"/>
    </x:row>
    <x:row r="73" ht="23" customHeight="1">
      <x:c r="A73" s="2"/>
      <x:c r="B73" s="2" t="str">
        <x:v>第 9 年額外工程</x:v>
      </x:c>
      <x:c r="C73" s="2"/>
      <x:c r="D73" s="12" t="n">
        <x:v>0</x:v>
      </x:c>
      <x:c r="E73" s="12"/>
      <x:c r="F73" s="35" t="n">
        <x:f>IF(ISBLANK(E73),D73,E73)</x:f>
        <x:v>0</x:v>
      </x:c>
      <x:c r="G73" s="42"/>
      <x:c r="H73" s="3"/>
      <x:c r="I73" s="3"/>
      <x:c r="J73" s="3"/>
      <x:c r="K73" s="3"/>
    </x:row>
    <x:row r="74" ht="23" customHeight="1">
      <x:c r="A74" s="2"/>
      <x:c r="B74" s="2" t="str">
        <x:v>第 10 年額外工程</x:v>
      </x:c>
      <x:c r="C74" s="2"/>
      <x:c r="D74" s="12" t="n">
        <x:v>0</x:v>
      </x:c>
      <x:c r="E74" s="12"/>
      <x:c r="F74" s="35" t="n">
        <x:f>IF(ISBLANK(E74),D74,E74)</x:f>
        <x:v>0</x:v>
      </x:c>
      <x:c r="G74" s="42"/>
      <x:c r="H74" s="3"/>
      <x:c r="I74" s="3"/>
      <x:c r="J74" s="3"/>
      <x:c r="K74" s="3"/>
    </x:row>
    <x:row r="75" ht="23" customHeight="1">
      <x:c r="A75" s="2"/>
      <x:c r="B75" s="2"/>
      <x:c r="C75" s="2"/>
      <x:c r="D75" s="3"/>
      <x:c r="E75" s="3"/>
      <x:c r="F75" s="3"/>
      <x:c r="G75" s="42"/>
      <x:c r="H75" s="3"/>
      <x:c r="I75" s="3"/>
      <x:c r="J75" s="3"/>
      <x:c r="K75" s="3"/>
    </x:row>
    <x:row r="76" ht="23" customHeight="1">
      <x:c r="A76" s="2"/>
      <x:c r="B76" s="2"/>
      <x:c r="C76" s="2"/>
      <x:c r="D76" s="3"/>
      <x:c r="E76" s="3"/>
      <x:c r="F76" s="3"/>
      <x:c r="G76" s="42"/>
      <x:c r="H76" s="3"/>
      <x:c r="I76" s="3"/>
      <x:c r="J76" s="3"/>
      <x:c r="K76" s="3"/>
    </x:row>
    <x:row r="77" ht="23" customHeight="1">
      <x:c r="A77" s="2"/>
      <x:c r="B77" s="2" t="str">
        <x:v>2026-09-20：改為三個主要輸入、自動簽約／佣金、RV 估算及 3／5／10 年比較。</x:v>
      </x:c>
      <x:c r="C77" s="2"/>
      <x:c r="D77" s="3"/>
      <x:c r="E77" s="3"/>
      <x:c r="F77" s="3"/>
      <x:c r="G77" s="42"/>
      <x:c r="H77" s="3"/>
      <x:c r="I77" s="3"/>
      <x:c r="J77" s="3"/>
      <x:c r="K77" s="3"/>
    </x:row>
    <x:row r="78" ht="23" customHeight="1">
      <x:c r="A78" s="2"/>
      <x:c r="B78" s="2" t="str">
        <x:v>原 A：樓價 400 萬、月租 17,000、裝修 30 萬。新版 RV 預設 204,000、租期 24 月。</x:v>
      </x:c>
      <x:c r="C78" s="2"/>
      <x:c r="D78" s="3"/>
      <x:c r="E78" s="3"/>
      <x:c r="F78" s="3"/>
      <x:c r="G78" s="42"/>
      <x:c r="H78" s="3"/>
      <x:c r="I78" s="3"/>
      <x:c r="J78" s="3"/>
      <x:c r="K78" s="3"/>
    </x:row>
    <x:row r="79" ht="23" customHeight="1">
      <x:c r="A79" s="2"/>
      <x:c r="B79" s="2" t="str">
        <x:v>舊版 RV 180,000／租期 12 月已保留在原檔備份；新版結果會因假設改動而不同。</x:v>
      </x:c>
      <x:c r="C79" s="2"/>
      <x:c r="D79" s="3"/>
      <x:c r="E79" s="3"/>
      <x:c r="F79" s="3"/>
      <x:c r="G79" s="42"/>
      <x:c r="H79" s="3"/>
      <x:c r="I79" s="3"/>
      <x:c r="J79" s="3"/>
      <x:c r="K79" s="3"/>
    </x:row>
    <x:row r="80" ht="23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</x:row>
    <x:row r="81" ht="24" customHeight="1">
      <x:c r="A81" s="2"/>
      <x:c r="B81" s="10" t="str">
        <x:v>實際簽約份數（可全部留白）</x:v>
      </x:c>
      <x:c r="C81" s="10"/>
      <x:c r="D81" s="21"/>
      <x:c r="E81" s="21"/>
      <x:c r="F81" s="21"/>
      <x:c r="G81" s="43"/>
      <x:c r="H81" s="3"/>
      <x:c r="I81" s="3"/>
      <x:c r="J81" s="3"/>
      <x:c r="K81" s="3"/>
    </x:row>
    <x:row r="82" ht="40" customHeight="1">
      <x:c r="A82" s="2"/>
      <x:c r="B82" s="2"/>
      <x:c r="C82" s="2"/>
      <x:c r="D82" s="3"/>
      <x:c r="E82" s="3"/>
      <x:c r="F82" s="3"/>
      <x:c r="G82" s="42" t="str">
        <x:v>留白＝按租期自動計；填 0＝該年不簽約。佣金預設跟隨，亦可在下方獨立覆蓋。</x:v>
      </x:c>
      <x:c r="H82" s="3"/>
      <x:c r="I82" s="3"/>
      <x:c r="J82" s="3"/>
      <x:c r="K82" s="3"/>
    </x:row>
    <x:row r="83" ht="23" customHeight="1">
      <x:c r="A83" s="2"/>
      <x:c r="B83" s="2" t="str">
        <x:v>第 1 年簽約份數覆蓋</x:v>
      </x:c>
      <x:c r="C83" s="2"/>
      <x:c r="D83" s="12"/>
      <x:c r="E83" s="12"/>
      <x:c r="F83" s="35" t="str">
        <x:f>IF(ISBLANK(E83),IF(ISBLANK(D83),"",D83),E83)</x:f>
      </x:c>
      <x:c r="G83" s="42"/>
      <x:c r="H83" s="3"/>
      <x:c r="I83" s="3"/>
      <x:c r="J83" s="35" t="n">
        <x:f>IF(D83="",1,IF(ISNUMBER(D83),IF(AND(D83&gt;=0,D83=INT(D83)),1,0),0))</x:f>
        <x:v>1</x:v>
      </x:c>
      <x:c r="K83" s="35" t="n">
        <x:f>IF(F83="",1,IF(ISNUMBER(F83),IF(AND(F83&gt;=0,F83=INT(F83)),1,0),0))</x:f>
        <x:v>1</x:v>
      </x:c>
    </x:row>
    <x:row r="84" ht="23" customHeight="1">
      <x:c r="A84" s="2"/>
      <x:c r="B84" s="2" t="str">
        <x:v>第 2 年簽約份數覆蓋</x:v>
      </x:c>
      <x:c r="C84" s="2"/>
      <x:c r="D84" s="12"/>
      <x:c r="E84" s="12"/>
      <x:c r="F84" s="35" t="str">
        <x:f>IF(ISBLANK(E84),IF(ISBLANK(D84),"",D84),E84)</x:f>
      </x:c>
      <x:c r="G84" s="42"/>
      <x:c r="H84" s="3"/>
      <x:c r="I84" s="3"/>
      <x:c r="J84" s="35" t="n">
        <x:f>IF(D84="",1,IF(ISNUMBER(D84),IF(AND(D84&gt;=0,D84=INT(D84)),1,0),0))</x:f>
        <x:v>1</x:v>
      </x:c>
      <x:c r="K84" s="35" t="n">
        <x:f>IF(F84="",1,IF(ISNUMBER(F84),IF(AND(F84&gt;=0,F84=INT(F84)),1,0),0))</x:f>
        <x:v>1</x:v>
      </x:c>
    </x:row>
    <x:row r="85" ht="23" customHeight="1">
      <x:c r="A85" s="2"/>
      <x:c r="B85" s="2" t="str">
        <x:v>第 3 年簽約份數覆蓋</x:v>
      </x:c>
      <x:c r="C85" s="2"/>
      <x:c r="D85" s="12"/>
      <x:c r="E85" s="12"/>
      <x:c r="F85" s="35" t="str">
        <x:f>IF(ISBLANK(E85),IF(ISBLANK(D85),"",D85),E85)</x:f>
      </x:c>
      <x:c r="G85" s="42"/>
      <x:c r="H85" s="3"/>
      <x:c r="I85" s="3"/>
      <x:c r="J85" s="35" t="n">
        <x:f>IF(D85="",1,IF(ISNUMBER(D85),IF(AND(D85&gt;=0,D85=INT(D85)),1,0),0))</x:f>
        <x:v>1</x:v>
      </x:c>
      <x:c r="K85" s="35" t="n">
        <x:f>IF(F85="",1,IF(ISNUMBER(F85),IF(AND(F85&gt;=0,F85=INT(F85)),1,0),0))</x:f>
        <x:v>1</x:v>
      </x:c>
    </x:row>
    <x:row r="86" ht="23" customHeight="1">
      <x:c r="A86" s="2"/>
      <x:c r="B86" s="2" t="str">
        <x:v>第 4 年簽約份數覆蓋</x:v>
      </x:c>
      <x:c r="C86" s="2"/>
      <x:c r="D86" s="12"/>
      <x:c r="E86" s="12"/>
      <x:c r="F86" s="35" t="str">
        <x:f>IF(ISBLANK(E86),IF(ISBLANK(D86),"",D86),E86)</x:f>
      </x:c>
      <x:c r="G86" s="42"/>
      <x:c r="H86" s="3"/>
      <x:c r="I86" s="3"/>
      <x:c r="J86" s="35" t="n">
        <x:f>IF(D86="",1,IF(ISNUMBER(D86),IF(AND(D86&gt;=0,D86=INT(D86)),1,0),0))</x:f>
        <x:v>1</x:v>
      </x:c>
      <x:c r="K86" s="35" t="n">
        <x:f>IF(F86="",1,IF(ISNUMBER(F86),IF(AND(F86&gt;=0,F86=INT(F86)),1,0),0))</x:f>
        <x:v>1</x:v>
      </x:c>
    </x:row>
    <x:row r="87" ht="23" customHeight="1">
      <x:c r="A87" s="2"/>
      <x:c r="B87" s="2" t="str">
        <x:v>第 5 年簽約份數覆蓋</x:v>
      </x:c>
      <x:c r="C87" s="2"/>
      <x:c r="D87" s="12"/>
      <x:c r="E87" s="12"/>
      <x:c r="F87" s="35" t="str">
        <x:f>IF(ISBLANK(E87),IF(ISBLANK(D87),"",D87),E87)</x:f>
      </x:c>
      <x:c r="G87" s="42"/>
      <x:c r="H87" s="3"/>
      <x:c r="I87" s="3"/>
      <x:c r="J87" s="35" t="n">
        <x:f>IF(D87="",1,IF(ISNUMBER(D87),IF(AND(D87&gt;=0,D87=INT(D87)),1,0),0))</x:f>
        <x:v>1</x:v>
      </x:c>
      <x:c r="K87" s="35" t="n">
        <x:f>IF(F87="",1,IF(ISNUMBER(F87),IF(AND(F87&gt;=0,F87=INT(F87)),1,0),0))</x:f>
        <x:v>1</x:v>
      </x:c>
    </x:row>
    <x:row r="88" ht="23" customHeight="1">
      <x:c r="A88" s="2"/>
      <x:c r="B88" s="2" t="str">
        <x:v>第 6 年簽約份數覆蓋</x:v>
      </x:c>
      <x:c r="C88" s="2"/>
      <x:c r="D88" s="12"/>
      <x:c r="E88" s="12"/>
      <x:c r="F88" s="35" t="str">
        <x:f>IF(ISBLANK(E88),IF(ISBLANK(D88),"",D88),E88)</x:f>
      </x:c>
      <x:c r="G88" s="42"/>
      <x:c r="H88" s="3"/>
      <x:c r="I88" s="3"/>
      <x:c r="J88" s="35" t="n">
        <x:f>IF(D88="",1,IF(ISNUMBER(D88),IF(AND(D88&gt;=0,D88=INT(D88)),1,0),0))</x:f>
        <x:v>1</x:v>
      </x:c>
      <x:c r="K88" s="35" t="n">
        <x:f>IF(F88="",1,IF(ISNUMBER(F88),IF(AND(F88&gt;=0,F88=INT(F88)),1,0),0))</x:f>
        <x:v>1</x:v>
      </x:c>
    </x:row>
    <x:row r="89" ht="23" customHeight="1">
      <x:c r="A89" s="2"/>
      <x:c r="B89" s="2" t="str">
        <x:v>第 7 年簽約份數覆蓋</x:v>
      </x:c>
      <x:c r="C89" s="2"/>
      <x:c r="D89" s="12"/>
      <x:c r="E89" s="12"/>
      <x:c r="F89" s="35" t="str">
        <x:f>IF(ISBLANK(E89),IF(ISBLANK(D89),"",D89),E89)</x:f>
      </x:c>
      <x:c r="G89" s="42"/>
      <x:c r="H89" s="3"/>
      <x:c r="I89" s="3"/>
      <x:c r="J89" s="35" t="n">
        <x:f>IF(D89="",1,IF(ISNUMBER(D89),IF(AND(D89&gt;=0,D89=INT(D89)),1,0),0))</x:f>
        <x:v>1</x:v>
      </x:c>
      <x:c r="K89" s="35" t="n">
        <x:f>IF(F89="",1,IF(ISNUMBER(F89),IF(AND(F89&gt;=0,F89=INT(F89)),1,0),0))</x:f>
        <x:v>1</x:v>
      </x:c>
    </x:row>
    <x:row r="90" ht="23" customHeight="1">
      <x:c r="A90" s="2"/>
      <x:c r="B90" s="2" t="str">
        <x:v>第 8 年簽約份數覆蓋</x:v>
      </x:c>
      <x:c r="C90" s="2"/>
      <x:c r="D90" s="12"/>
      <x:c r="E90" s="12"/>
      <x:c r="F90" s="35" t="str">
        <x:f>IF(ISBLANK(E90),IF(ISBLANK(D90),"",D90),E90)</x:f>
      </x:c>
      <x:c r="G90" s="42"/>
      <x:c r="H90" s="3"/>
      <x:c r="I90" s="3"/>
      <x:c r="J90" s="35" t="n">
        <x:f>IF(D90="",1,IF(ISNUMBER(D90),IF(AND(D90&gt;=0,D90=INT(D90)),1,0),0))</x:f>
        <x:v>1</x:v>
      </x:c>
      <x:c r="K90" s="35" t="n">
        <x:f>IF(F90="",1,IF(ISNUMBER(F90),IF(AND(F90&gt;=0,F90=INT(F90)),1,0),0))</x:f>
        <x:v>1</x:v>
      </x:c>
    </x:row>
    <x:row r="91" ht="23" customHeight="1">
      <x:c r="A91" s="2"/>
      <x:c r="B91" s="2" t="str">
        <x:v>第 9 年簽約份數覆蓋</x:v>
      </x:c>
      <x:c r="C91" s="2"/>
      <x:c r="D91" s="12"/>
      <x:c r="E91" s="12"/>
      <x:c r="F91" s="35" t="str">
        <x:f>IF(ISBLANK(E91),IF(ISBLANK(D91),"",D91),E91)</x:f>
      </x:c>
      <x:c r="G91" s="42"/>
      <x:c r="H91" s="3"/>
      <x:c r="I91" s="3"/>
      <x:c r="J91" s="35" t="n">
        <x:f>IF(D91="",1,IF(ISNUMBER(D91),IF(AND(D91&gt;=0,D91=INT(D91)),1,0),0))</x:f>
        <x:v>1</x:v>
      </x:c>
      <x:c r="K91" s="35" t="n">
        <x:f>IF(F91="",1,IF(ISNUMBER(F91),IF(AND(F91&gt;=0,F91=INT(F91)),1,0),0))</x:f>
        <x:v>1</x:v>
      </x:c>
    </x:row>
    <x:row r="92" ht="23" customHeight="1">
      <x:c r="A92" s="2"/>
      <x:c r="B92" s="2" t="str">
        <x:v>第 10 年簽約份數覆蓋</x:v>
      </x:c>
      <x:c r="C92" s="2"/>
      <x:c r="D92" s="12"/>
      <x:c r="E92" s="12"/>
      <x:c r="F92" s="35" t="str">
        <x:f>IF(ISBLANK(E92),IF(ISBLANK(D92),"",D92),E92)</x:f>
      </x:c>
      <x:c r="G92" s="42"/>
      <x:c r="H92" s="3"/>
      <x:c r="I92" s="3"/>
      <x:c r="J92" s="35" t="n">
        <x:f>IF(D92="",1,IF(ISNUMBER(D92),IF(AND(D92&gt;=0,D92=INT(D92)),1,0),0))</x:f>
        <x:v>1</x:v>
      </x:c>
      <x:c r="K92" s="35" t="n">
        <x:f>IF(F92="",1,IF(ISNUMBER(F92),IF(AND(F92&gt;=0,F92=INT(F92)),1,0),0))</x:f>
        <x:v>1</x:v>
      </x:c>
    </x:row>
    <x:row r="93" ht="23" customHeight="1">
      <x:c r="A93" s="2"/>
      <x:c r="B93" s="2"/>
      <x:c r="C93" s="2"/>
      <x:c r="D93" s="3"/>
      <x:c r="E93" s="3"/>
      <x:c r="F93" s="3"/>
      <x:c r="G93" s="42"/>
      <x:c r="H93" s="3"/>
      <x:c r="I93" s="3"/>
      <x:c r="J93" s="3"/>
      <x:c r="K93" s="3"/>
    </x:row>
    <x:row r="94" ht="23" customHeight="1">
      <x:c r="A94" s="2"/>
      <x:c r="B94" s="2"/>
      <x:c r="C94" s="2"/>
      <x:c r="D94" s="3"/>
      <x:c r="E94" s="3"/>
      <x:c r="F94" s="3"/>
      <x:c r="G94" s="42"/>
      <x:c r="H94" s="3"/>
      <x:c r="I94" s="3"/>
      <x:c r="J94" s="3"/>
      <x:c r="K94" s="3"/>
    </x:row>
    <x:row r="95" ht="23" customHeight="1">
      <x:c r="A95" s="2"/>
      <x:c r="B95" s="2"/>
      <x:c r="C95" s="2"/>
      <x:c r="D95" s="3"/>
      <x:c r="E95" s="3"/>
      <x:c r="F95" s="3"/>
      <x:c r="G95" s="42"/>
      <x:c r="H95" s="3"/>
      <x:c r="I95" s="3"/>
      <x:c r="J95" s="3"/>
      <x:c r="K95" s="3"/>
    </x:row>
    <x:row r="96" ht="23" customHeight="1">
      <x:c r="A96" s="2"/>
      <x:c r="B96" s="2"/>
      <x:c r="C96" s="2"/>
      <x:c r="D96" s="3"/>
      <x:c r="E96" s="3"/>
      <x:c r="F96" s="3"/>
      <x:c r="G96" s="42"/>
      <x:c r="H96" s="3"/>
      <x:c r="I96" s="3"/>
      <x:c r="J96" s="3"/>
      <x:c r="K96" s="3"/>
    </x:row>
    <x:row r="97" ht="24" customHeight="1">
      <x:c r="A97" s="2"/>
      <x:c r="B97" s="10" t="str">
        <x:v>需付招租佣金次數（可全部留白）</x:v>
      </x:c>
      <x:c r="C97" s="10"/>
      <x:c r="D97" s="21"/>
      <x:c r="E97" s="21"/>
      <x:c r="F97" s="21"/>
      <x:c r="G97" s="43"/>
      <x:c r="H97" s="3"/>
      <x:c r="I97" s="3"/>
      <x:c r="J97" s="3"/>
      <x:c r="K97" s="3"/>
    </x:row>
    <x:row r="98" ht="40" customHeight="1">
      <x:c r="A98" s="2"/>
      <x:c r="B98" s="2"/>
      <x:c r="C98" s="2"/>
      <x:c r="D98" s="3"/>
      <x:c r="E98" s="3"/>
      <x:c r="F98" s="3"/>
      <x:c r="G98" s="42" t="str">
        <x:v>留白＝跟隨當年簽約份數；填 0＝不用代理／免佣續租，租約印花仍照付。</x:v>
      </x:c>
      <x:c r="H98" s="3"/>
      <x:c r="I98" s="3"/>
      <x:c r="J98" s="3"/>
      <x:c r="K98" s="3"/>
    </x:row>
    <x:row r="99" ht="23" customHeight="1">
      <x:c r="A99" s="2"/>
      <x:c r="B99" s="2" t="str">
        <x:v>第 1 年付佣次數覆蓋</x:v>
      </x:c>
      <x:c r="C99" s="2"/>
      <x:c r="D99" s="12"/>
      <x:c r="E99" s="12"/>
      <x:c r="F99" s="35" t="str">
        <x:f>IF(ISBLANK(E99),IF(ISBLANK(D99),"",D99),E99)</x:f>
      </x:c>
      <x:c r="G99" s="42"/>
      <x:c r="H99" s="3"/>
      <x:c r="I99" s="3"/>
      <x:c r="J99" s="35" t="n">
        <x:f>IF(D99="",1,IF(ISNUMBER(D99),IF(AND(D99&gt;=0,D99=INT(D99)),1,0),0))</x:f>
        <x:v>1</x:v>
      </x:c>
      <x:c r="K99" s="35" t="n">
        <x:f>IF(F99="",1,IF(ISNUMBER(F99),IF(AND(F99&gt;=0,F99=INT(F99)),1,0),0))</x:f>
        <x:v>1</x:v>
      </x:c>
    </x:row>
    <x:row r="100" ht="23" customHeight="1">
      <x:c r="A100" s="2"/>
      <x:c r="B100" s="2" t="str">
        <x:v>第 2 年付佣次數覆蓋</x:v>
      </x:c>
      <x:c r="C100" s="2"/>
      <x:c r="D100" s="12"/>
      <x:c r="E100" s="12"/>
      <x:c r="F100" s="35" t="str">
        <x:f>IF(ISBLANK(E100),IF(ISBLANK(D100),"",D100),E100)</x:f>
      </x:c>
      <x:c r="G100" s="42"/>
      <x:c r="H100" s="3"/>
      <x:c r="I100" s="3"/>
      <x:c r="J100" s="35" t="n">
        <x:f>IF(D100="",1,IF(ISNUMBER(D100),IF(AND(D100&gt;=0,D100=INT(D100)),1,0),0))</x:f>
        <x:v>1</x:v>
      </x:c>
      <x:c r="K100" s="35" t="n">
        <x:f>IF(F100="",1,IF(ISNUMBER(F100),IF(AND(F100&gt;=0,F100=INT(F100)),1,0),0))</x:f>
        <x:v>1</x:v>
      </x:c>
    </x:row>
    <x:row r="101" ht="23" customHeight="1">
      <x:c r="A101" s="2"/>
      <x:c r="B101" s="2" t="str">
        <x:v>第 3 年付佣次數覆蓋</x:v>
      </x:c>
      <x:c r="C101" s="2"/>
      <x:c r="D101" s="12"/>
      <x:c r="E101" s="12"/>
      <x:c r="F101" s="35" t="str">
        <x:f>IF(ISBLANK(E101),IF(ISBLANK(D101),"",D101),E101)</x:f>
      </x:c>
      <x:c r="G101" s="42"/>
      <x:c r="H101" s="3"/>
      <x:c r="I101" s="3"/>
      <x:c r="J101" s="35" t="n">
        <x:f>IF(D101="",1,IF(ISNUMBER(D101),IF(AND(D101&gt;=0,D101=INT(D101)),1,0),0))</x:f>
        <x:v>1</x:v>
      </x:c>
      <x:c r="K101" s="35" t="n">
        <x:f>IF(F101="",1,IF(ISNUMBER(F101),IF(AND(F101&gt;=0,F101=INT(F101)),1,0),0))</x:f>
        <x:v>1</x:v>
      </x:c>
    </x:row>
    <x:row r="102" ht="23" customHeight="1">
      <x:c r="A102" s="2"/>
      <x:c r="B102" s="2" t="str">
        <x:v>第 4 年付佣次數覆蓋</x:v>
      </x:c>
      <x:c r="C102" s="2"/>
      <x:c r="D102" s="12"/>
      <x:c r="E102" s="12"/>
      <x:c r="F102" s="35" t="str">
        <x:f>IF(ISBLANK(E102),IF(ISBLANK(D102),"",D102),E102)</x:f>
      </x:c>
      <x:c r="G102" s="42"/>
      <x:c r="H102" s="3"/>
      <x:c r="I102" s="3"/>
      <x:c r="J102" s="35" t="n">
        <x:f>IF(D102="",1,IF(ISNUMBER(D102),IF(AND(D102&gt;=0,D102=INT(D102)),1,0),0))</x:f>
        <x:v>1</x:v>
      </x:c>
      <x:c r="K102" s="35" t="n">
        <x:f>IF(F102="",1,IF(ISNUMBER(F102),IF(AND(F102&gt;=0,F102=INT(F102)),1,0),0))</x:f>
        <x:v>1</x:v>
      </x:c>
    </x:row>
    <x:row r="103" ht="23" customHeight="1">
      <x:c r="A103" s="2"/>
      <x:c r="B103" s="2" t="str">
        <x:v>第 5 年付佣次數覆蓋</x:v>
      </x:c>
      <x:c r="C103" s="2"/>
      <x:c r="D103" s="12"/>
      <x:c r="E103" s="12"/>
      <x:c r="F103" s="35" t="str">
        <x:f>IF(ISBLANK(E103),IF(ISBLANK(D103),"",D103),E103)</x:f>
      </x:c>
      <x:c r="G103" s="42"/>
      <x:c r="H103" s="3"/>
      <x:c r="I103" s="3"/>
      <x:c r="J103" s="35" t="n">
        <x:f>IF(D103="",1,IF(ISNUMBER(D103),IF(AND(D103&gt;=0,D103=INT(D103)),1,0),0))</x:f>
        <x:v>1</x:v>
      </x:c>
      <x:c r="K103" s="35" t="n">
        <x:f>IF(F103="",1,IF(ISNUMBER(F103),IF(AND(F103&gt;=0,F103=INT(F103)),1,0),0))</x:f>
        <x:v>1</x:v>
      </x:c>
    </x:row>
    <x:row r="104" ht="23" customHeight="1">
      <x:c r="A104" s="2"/>
      <x:c r="B104" s="2" t="str">
        <x:v>第 6 年付佣次數覆蓋</x:v>
      </x:c>
      <x:c r="C104" s="2"/>
      <x:c r="D104" s="12"/>
      <x:c r="E104" s="12"/>
      <x:c r="F104" s="35" t="str">
        <x:f>IF(ISBLANK(E104),IF(ISBLANK(D104),"",D104),E104)</x:f>
      </x:c>
      <x:c r="G104" s="42"/>
      <x:c r="H104" s="3"/>
      <x:c r="I104" s="3"/>
      <x:c r="J104" s="35" t="n">
        <x:f>IF(D104="",1,IF(ISNUMBER(D104),IF(AND(D104&gt;=0,D104=INT(D104)),1,0),0))</x:f>
        <x:v>1</x:v>
      </x:c>
      <x:c r="K104" s="35" t="n">
        <x:f>IF(F104="",1,IF(ISNUMBER(F104),IF(AND(F104&gt;=0,F104=INT(F104)),1,0),0))</x:f>
        <x:v>1</x:v>
      </x:c>
    </x:row>
    <x:row r="105" ht="23" customHeight="1">
      <x:c r="A105" s="2"/>
      <x:c r="B105" s="2" t="str">
        <x:v>第 7 年付佣次數覆蓋</x:v>
      </x:c>
      <x:c r="C105" s="2"/>
      <x:c r="D105" s="12"/>
      <x:c r="E105" s="12"/>
      <x:c r="F105" s="35" t="str">
        <x:f>IF(ISBLANK(E105),IF(ISBLANK(D105),"",D105),E105)</x:f>
      </x:c>
      <x:c r="G105" s="42"/>
      <x:c r="H105" s="3"/>
      <x:c r="I105" s="3"/>
      <x:c r="J105" s="35" t="n">
        <x:f>IF(D105="",1,IF(ISNUMBER(D105),IF(AND(D105&gt;=0,D105=INT(D105)),1,0),0))</x:f>
        <x:v>1</x:v>
      </x:c>
      <x:c r="K105" s="35" t="n">
        <x:f>IF(F105="",1,IF(ISNUMBER(F105),IF(AND(F105&gt;=0,F105=INT(F105)),1,0),0))</x:f>
        <x:v>1</x:v>
      </x:c>
    </x:row>
    <x:row r="106" ht="23" customHeight="1">
      <x:c r="A106" s="2"/>
      <x:c r="B106" s="2" t="str">
        <x:v>第 8 年付佣次數覆蓋</x:v>
      </x:c>
      <x:c r="C106" s="2"/>
      <x:c r="D106" s="12"/>
      <x:c r="E106" s="12"/>
      <x:c r="F106" s="35" t="str">
        <x:f>IF(ISBLANK(E106),IF(ISBLANK(D106),"",D106),E106)</x:f>
      </x:c>
      <x:c r="G106" s="42"/>
      <x:c r="H106" s="3"/>
      <x:c r="I106" s="3"/>
      <x:c r="J106" s="35" t="n">
        <x:f>IF(D106="",1,IF(ISNUMBER(D106),IF(AND(D106&gt;=0,D106=INT(D106)),1,0),0))</x:f>
        <x:v>1</x:v>
      </x:c>
      <x:c r="K106" s="35" t="n">
        <x:f>IF(F106="",1,IF(ISNUMBER(F106),IF(AND(F106&gt;=0,F106=INT(F106)),1,0),0))</x:f>
        <x:v>1</x:v>
      </x:c>
    </x:row>
    <x:row r="107" ht="23" customHeight="1">
      <x:c r="A107" s="2"/>
      <x:c r="B107" s="2" t="str">
        <x:v>第 9 年付佣次數覆蓋</x:v>
      </x:c>
      <x:c r="C107" s="2"/>
      <x:c r="D107" s="12"/>
      <x:c r="E107" s="12"/>
      <x:c r="F107" s="35" t="str">
        <x:f>IF(ISBLANK(E107),IF(ISBLANK(D107),"",D107),E107)</x:f>
      </x:c>
      <x:c r="G107" s="42"/>
      <x:c r="H107" s="3"/>
      <x:c r="I107" s="3"/>
      <x:c r="J107" s="35" t="n">
        <x:f>IF(D107="",1,IF(ISNUMBER(D107),IF(AND(D107&gt;=0,D107=INT(D107)),1,0),0))</x:f>
        <x:v>1</x:v>
      </x:c>
      <x:c r="K107" s="35" t="n">
        <x:f>IF(F107="",1,IF(ISNUMBER(F107),IF(AND(F107&gt;=0,F107=INT(F107)),1,0),0))</x:f>
        <x:v>1</x:v>
      </x:c>
    </x:row>
    <x:row r="108" ht="23" customHeight="1">
      <x:c r="A108" s="2"/>
      <x:c r="B108" s="2" t="str">
        <x:v>第 10 年付佣次數覆蓋</x:v>
      </x:c>
      <x:c r="C108" s="2"/>
      <x:c r="D108" s="12"/>
      <x:c r="E108" s="12"/>
      <x:c r="F108" s="35" t="str">
        <x:f>IF(ISBLANK(E108),IF(ISBLANK(D108),"",D108),E108)</x:f>
      </x:c>
      <x:c r="G108" s="42"/>
      <x:c r="H108" s="3"/>
      <x:c r="I108" s="3"/>
      <x:c r="J108" s="35" t="n">
        <x:f>IF(D108="",1,IF(ISNUMBER(D108),IF(AND(D108&gt;=0,D108=INT(D108)),1,0),0))</x:f>
        <x:v>1</x:v>
      </x:c>
      <x:c r="K108" s="35" t="n">
        <x:f>IF(F108="",1,IF(ISNUMBER(F108),IF(AND(F108&gt;=0,F108=INT(F108)),1,0),0))</x:f>
        <x:v>1</x:v>
      </x:c>
    </x:row>
    <x:row r="109" ht="23" customHeight="1">
      <x:c r="A109" s="2"/>
      <x:c r="B109" s="2"/>
      <x:c r="C109" s="2"/>
      <x:c r="D109" s="3"/>
      <x:c r="E109" s="3"/>
      <x:c r="F109" s="3"/>
      <x:c r="G109" s="42"/>
      <x:c r="H109" s="3"/>
      <x:c r="I109" s="3"/>
      <x:c r="J109" s="3"/>
      <x:c r="K109" s="3"/>
    </x:row>
    <x:row r="110" ht="23" customHeight="1">
      <x:c r="A110" s="2"/>
      <x:c r="B110" s="2"/>
      <x:c r="C110" s="2"/>
      <x:c r="D110" s="3"/>
      <x:c r="E110" s="3"/>
      <x:c r="F110" s="3"/>
      <x:c r="G110" s="42"/>
      <x:c r="H110" s="3"/>
      <x:c r="I110" s="3"/>
      <x:c r="J110" s="3"/>
      <x:c r="K110" s="3"/>
    </x:row>
  </x:sheetData>
  <x:conditionalFormatting sqref="D7:D7">
    <x:cfRule type="expression" dxfId="0" priority="1">
      <x:formula>$J7=0</x:formula>
    </x:cfRule>
  </x:conditionalFormatting>
  <x:conditionalFormatting sqref="E7:F7">
    <x:cfRule type="expression" dxfId="1" priority="2">
      <x:formula>$K7=0</x:formula>
    </x:cfRule>
  </x:conditionalFormatting>
  <x:conditionalFormatting sqref="D8:D8">
    <x:cfRule type="expression" dxfId="2" priority="3">
      <x:formula>$J8=0</x:formula>
    </x:cfRule>
  </x:conditionalFormatting>
  <x:conditionalFormatting sqref="E8:F8">
    <x:cfRule type="expression" dxfId="3" priority="4">
      <x:formula>$K8=0</x:formula>
    </x:cfRule>
  </x:conditionalFormatting>
  <x:conditionalFormatting sqref="D9:D9">
    <x:cfRule type="expression" dxfId="4" priority="5">
      <x:formula>$J9=0</x:formula>
    </x:cfRule>
  </x:conditionalFormatting>
  <x:conditionalFormatting sqref="E9:F9">
    <x:cfRule type="expression" dxfId="5" priority="6">
      <x:formula>$K9=0</x:formula>
    </x:cfRule>
  </x:conditionalFormatting>
  <x:conditionalFormatting sqref="D12:D12">
    <x:cfRule type="expression" dxfId="6" priority="7">
      <x:formula>$J12=0</x:formula>
    </x:cfRule>
  </x:conditionalFormatting>
  <x:conditionalFormatting sqref="E12:F12">
    <x:cfRule type="expression" dxfId="7" priority="8">
      <x:formula>$K12=0</x:formula>
    </x:cfRule>
  </x:conditionalFormatting>
  <x:conditionalFormatting sqref="D13:D13">
    <x:cfRule type="expression" dxfId="8" priority="9">
      <x:formula>$J13=0</x:formula>
    </x:cfRule>
  </x:conditionalFormatting>
  <x:conditionalFormatting sqref="E13:F13">
    <x:cfRule type="expression" dxfId="9" priority="10">
      <x:formula>$K13=0</x:formula>
    </x:cfRule>
  </x:conditionalFormatting>
  <x:conditionalFormatting sqref="D14:D14">
    <x:cfRule type="expression" dxfId="10" priority="11">
      <x:formula>$J14=0</x:formula>
    </x:cfRule>
  </x:conditionalFormatting>
  <x:conditionalFormatting sqref="E14:F14">
    <x:cfRule type="expression" dxfId="11" priority="12">
      <x:formula>$K14=0</x:formula>
    </x:cfRule>
  </x:conditionalFormatting>
  <x:conditionalFormatting sqref="D15:D15">
    <x:cfRule type="expression" dxfId="12" priority="13">
      <x:formula>$J15=0</x:formula>
    </x:cfRule>
  </x:conditionalFormatting>
  <x:conditionalFormatting sqref="E15:F15">
    <x:cfRule type="expression" dxfId="13" priority="14">
      <x:formula>$K15=0</x:formula>
    </x:cfRule>
  </x:conditionalFormatting>
  <x:conditionalFormatting sqref="D16:D16">
    <x:cfRule type="expression" dxfId="14" priority="15">
      <x:formula>$J16=0</x:formula>
    </x:cfRule>
  </x:conditionalFormatting>
  <x:conditionalFormatting sqref="E16:F16">
    <x:cfRule type="expression" dxfId="15" priority="16">
      <x:formula>$K16=0</x:formula>
    </x:cfRule>
  </x:conditionalFormatting>
  <x:conditionalFormatting sqref="D17:D17">
    <x:cfRule type="expression" dxfId="16" priority="17">
      <x:formula>$J17=0</x:formula>
    </x:cfRule>
  </x:conditionalFormatting>
  <x:conditionalFormatting sqref="E17:F17">
    <x:cfRule type="expression" dxfId="17" priority="18">
      <x:formula>$K17=0</x:formula>
    </x:cfRule>
  </x:conditionalFormatting>
  <x:conditionalFormatting sqref="D18:D18">
    <x:cfRule type="expression" dxfId="18" priority="19">
      <x:formula>$J18=0</x:formula>
    </x:cfRule>
  </x:conditionalFormatting>
  <x:conditionalFormatting sqref="E18:F18">
    <x:cfRule type="expression" dxfId="19" priority="20">
      <x:formula>$K18=0</x:formula>
    </x:cfRule>
  </x:conditionalFormatting>
  <x:conditionalFormatting sqref="D19:D19">
    <x:cfRule type="expression" dxfId="20" priority="21">
      <x:formula>$J19=0</x:formula>
    </x:cfRule>
  </x:conditionalFormatting>
  <x:conditionalFormatting sqref="E19:F19">
    <x:cfRule type="expression" dxfId="21" priority="22">
      <x:formula>$K19=0</x:formula>
    </x:cfRule>
  </x:conditionalFormatting>
  <x:conditionalFormatting sqref="D20:D20">
    <x:cfRule type="expression" dxfId="22" priority="23">
      <x:formula>$J20=0</x:formula>
    </x:cfRule>
  </x:conditionalFormatting>
  <x:conditionalFormatting sqref="E20:F20">
    <x:cfRule type="expression" dxfId="23" priority="24">
      <x:formula>$K20=0</x:formula>
    </x:cfRule>
  </x:conditionalFormatting>
  <x:conditionalFormatting sqref="D21:D21">
    <x:cfRule type="expression" dxfId="24" priority="25">
      <x:formula>$J21=0</x:formula>
    </x:cfRule>
  </x:conditionalFormatting>
  <x:conditionalFormatting sqref="E21:F21">
    <x:cfRule type="expression" dxfId="25" priority="26">
      <x:formula>$K21=0</x:formula>
    </x:cfRule>
  </x:conditionalFormatting>
  <x:conditionalFormatting sqref="D22:D22">
    <x:cfRule type="expression" dxfId="26" priority="27">
      <x:formula>$J22=0</x:formula>
    </x:cfRule>
  </x:conditionalFormatting>
  <x:conditionalFormatting sqref="E22:F22">
    <x:cfRule type="expression" dxfId="27" priority="28">
      <x:formula>$K22=0</x:formula>
    </x:cfRule>
  </x:conditionalFormatting>
  <x:conditionalFormatting sqref="D23:D23">
    <x:cfRule type="expression" dxfId="28" priority="29">
      <x:formula>$J23=0</x:formula>
    </x:cfRule>
  </x:conditionalFormatting>
  <x:conditionalFormatting sqref="E23:F23">
    <x:cfRule type="expression" dxfId="29" priority="30">
      <x:formula>$K23=0</x:formula>
    </x:cfRule>
  </x:conditionalFormatting>
  <x:conditionalFormatting sqref="D24:D24">
    <x:cfRule type="expression" dxfId="30" priority="31">
      <x:formula>$J24=0</x:formula>
    </x:cfRule>
  </x:conditionalFormatting>
  <x:conditionalFormatting sqref="E24:F24">
    <x:cfRule type="expression" dxfId="31" priority="32">
      <x:formula>$K24=0</x:formula>
    </x:cfRule>
  </x:conditionalFormatting>
  <x:conditionalFormatting sqref="D25:D25">
    <x:cfRule type="expression" dxfId="32" priority="33">
      <x:formula>$J25=0</x:formula>
    </x:cfRule>
  </x:conditionalFormatting>
  <x:conditionalFormatting sqref="E25:F25">
    <x:cfRule type="expression" dxfId="33" priority="34">
      <x:formula>$K25=0</x:formula>
    </x:cfRule>
  </x:conditionalFormatting>
  <x:conditionalFormatting sqref="D26:D26">
    <x:cfRule type="expression" dxfId="34" priority="35">
      <x:formula>$J26=0</x:formula>
    </x:cfRule>
  </x:conditionalFormatting>
  <x:conditionalFormatting sqref="E26:F26">
    <x:cfRule type="expression" dxfId="35" priority="36">
      <x:formula>$K26=0</x:formula>
    </x:cfRule>
  </x:conditionalFormatting>
  <x:conditionalFormatting sqref="D27:D27">
    <x:cfRule type="expression" dxfId="36" priority="37">
      <x:formula>$J27=0</x:formula>
    </x:cfRule>
  </x:conditionalFormatting>
  <x:conditionalFormatting sqref="E27:F27">
    <x:cfRule type="expression" dxfId="37" priority="38">
      <x:formula>$K27=0</x:formula>
    </x:cfRule>
  </x:conditionalFormatting>
  <x:conditionalFormatting sqref="D28:D28">
    <x:cfRule type="expression" dxfId="38" priority="39">
      <x:formula>$J28=0</x:formula>
    </x:cfRule>
  </x:conditionalFormatting>
  <x:conditionalFormatting sqref="E28:F28">
    <x:cfRule type="expression" dxfId="39" priority="40">
      <x:formula>$K28=0</x:formula>
    </x:cfRule>
  </x:conditionalFormatting>
  <x:conditionalFormatting sqref="D29:D29">
    <x:cfRule type="expression" dxfId="40" priority="41">
      <x:formula>$J29=0</x:formula>
    </x:cfRule>
  </x:conditionalFormatting>
  <x:conditionalFormatting sqref="E29:F29">
    <x:cfRule type="expression" dxfId="41" priority="42">
      <x:formula>$K29=0</x:formula>
    </x:cfRule>
  </x:conditionalFormatting>
  <x:conditionalFormatting sqref="D30:D30">
    <x:cfRule type="expression" dxfId="42" priority="43">
      <x:formula>$J30=0</x:formula>
    </x:cfRule>
  </x:conditionalFormatting>
  <x:conditionalFormatting sqref="E30:F30">
    <x:cfRule type="expression" dxfId="43" priority="44">
      <x:formula>$K30=0</x:formula>
    </x:cfRule>
  </x:conditionalFormatting>
  <x:conditionalFormatting sqref="D31:D31">
    <x:cfRule type="expression" dxfId="44" priority="45">
      <x:formula>$J31=0</x:formula>
    </x:cfRule>
  </x:conditionalFormatting>
  <x:conditionalFormatting sqref="E31:F31">
    <x:cfRule type="expression" dxfId="45" priority="46">
      <x:formula>$K31=0</x:formula>
    </x:cfRule>
  </x:conditionalFormatting>
  <x:conditionalFormatting sqref="D32:D32">
    <x:cfRule type="expression" dxfId="46" priority="47">
      <x:formula>$J32=0</x:formula>
    </x:cfRule>
  </x:conditionalFormatting>
  <x:conditionalFormatting sqref="E32:F32">
    <x:cfRule type="expression" dxfId="47" priority="48">
      <x:formula>$K32=0</x:formula>
    </x:cfRule>
  </x:conditionalFormatting>
  <x:conditionalFormatting sqref="D33:D33">
    <x:cfRule type="expression" dxfId="48" priority="49">
      <x:formula>$J33=0</x:formula>
    </x:cfRule>
  </x:conditionalFormatting>
  <x:conditionalFormatting sqref="E33:F33">
    <x:cfRule type="expression" dxfId="49" priority="50">
      <x:formula>$K33=0</x:formula>
    </x:cfRule>
  </x:conditionalFormatting>
  <x:conditionalFormatting sqref="D34:D34">
    <x:cfRule type="expression" dxfId="50" priority="51">
      <x:formula>$J34=0</x:formula>
    </x:cfRule>
  </x:conditionalFormatting>
  <x:conditionalFormatting sqref="E34:F34">
    <x:cfRule type="expression" dxfId="51" priority="52">
      <x:formula>$K34=0</x:formula>
    </x:cfRule>
  </x:conditionalFormatting>
  <x:conditionalFormatting sqref="D35:D35">
    <x:cfRule type="expression" dxfId="52" priority="53">
      <x:formula>$J35=0</x:formula>
    </x:cfRule>
  </x:conditionalFormatting>
  <x:conditionalFormatting sqref="E35:F35">
    <x:cfRule type="expression" dxfId="53" priority="54">
      <x:formula>$K35=0</x:formula>
    </x:cfRule>
  </x:conditionalFormatting>
  <x:conditionalFormatting sqref="D36:D36">
    <x:cfRule type="expression" dxfId="54" priority="55">
      <x:formula>$J36=0</x:formula>
    </x:cfRule>
  </x:conditionalFormatting>
  <x:conditionalFormatting sqref="E36:F36">
    <x:cfRule type="expression" dxfId="55" priority="56">
      <x:formula>$K36=0</x:formula>
    </x:cfRule>
  </x:conditionalFormatting>
  <x:conditionalFormatting sqref="J7:K36">
    <x:cfRule type="cellIs" dxfId="56" priority="57" operator="equal">
      <x:formula>0</x:formula>
    </x:cfRule>
  </x:conditionalFormatting>
  <x:conditionalFormatting sqref="D83:D83">
    <x:cfRule type="expression" dxfId="57" priority="58">
      <x:formula>$J83=0</x:formula>
    </x:cfRule>
  </x:conditionalFormatting>
  <x:conditionalFormatting sqref="E83:F83">
    <x:cfRule type="expression" dxfId="58" priority="59">
      <x:formula>$K83=0</x:formula>
    </x:cfRule>
  </x:conditionalFormatting>
  <x:conditionalFormatting sqref="D84:D84">
    <x:cfRule type="expression" dxfId="59" priority="60">
      <x:formula>$J84=0</x:formula>
    </x:cfRule>
  </x:conditionalFormatting>
  <x:conditionalFormatting sqref="E84:F84">
    <x:cfRule type="expression" dxfId="60" priority="61">
      <x:formula>$K84=0</x:formula>
    </x:cfRule>
  </x:conditionalFormatting>
  <x:conditionalFormatting sqref="D85:D85">
    <x:cfRule type="expression" dxfId="61" priority="62">
      <x:formula>$J85=0</x:formula>
    </x:cfRule>
  </x:conditionalFormatting>
  <x:conditionalFormatting sqref="E85:F85">
    <x:cfRule type="expression" dxfId="62" priority="63">
      <x:formula>$K85=0</x:formula>
    </x:cfRule>
  </x:conditionalFormatting>
  <x:conditionalFormatting sqref="D86:D86">
    <x:cfRule type="expression" dxfId="63" priority="64">
      <x:formula>$J86=0</x:formula>
    </x:cfRule>
  </x:conditionalFormatting>
  <x:conditionalFormatting sqref="E86:F86">
    <x:cfRule type="expression" dxfId="64" priority="65">
      <x:formula>$K86=0</x:formula>
    </x:cfRule>
  </x:conditionalFormatting>
  <x:conditionalFormatting sqref="D87:D87">
    <x:cfRule type="expression" dxfId="65" priority="66">
      <x:formula>$J87=0</x:formula>
    </x:cfRule>
  </x:conditionalFormatting>
  <x:conditionalFormatting sqref="E87:F87">
    <x:cfRule type="expression" dxfId="66" priority="67">
      <x:formula>$K87=0</x:formula>
    </x:cfRule>
  </x:conditionalFormatting>
  <x:conditionalFormatting sqref="D88:D88">
    <x:cfRule type="expression" dxfId="67" priority="68">
      <x:formula>$J88=0</x:formula>
    </x:cfRule>
  </x:conditionalFormatting>
  <x:conditionalFormatting sqref="E88:F88">
    <x:cfRule type="expression" dxfId="68" priority="69">
      <x:formula>$K88=0</x:formula>
    </x:cfRule>
  </x:conditionalFormatting>
  <x:conditionalFormatting sqref="D89:D89">
    <x:cfRule type="expression" dxfId="69" priority="70">
      <x:formula>$J89=0</x:formula>
    </x:cfRule>
  </x:conditionalFormatting>
  <x:conditionalFormatting sqref="E89:F89">
    <x:cfRule type="expression" dxfId="70" priority="71">
      <x:formula>$K89=0</x:formula>
    </x:cfRule>
  </x:conditionalFormatting>
  <x:conditionalFormatting sqref="D90:D90">
    <x:cfRule type="expression" dxfId="71" priority="72">
      <x:formula>$J90=0</x:formula>
    </x:cfRule>
  </x:conditionalFormatting>
  <x:conditionalFormatting sqref="E90:F90">
    <x:cfRule type="expression" dxfId="72" priority="73">
      <x:formula>$K90=0</x:formula>
    </x:cfRule>
  </x:conditionalFormatting>
  <x:conditionalFormatting sqref="D91:D91">
    <x:cfRule type="expression" dxfId="73" priority="74">
      <x:formula>$J91=0</x:formula>
    </x:cfRule>
  </x:conditionalFormatting>
  <x:conditionalFormatting sqref="E91:F91">
    <x:cfRule type="expression" dxfId="74" priority="75">
      <x:formula>$K91=0</x:formula>
    </x:cfRule>
  </x:conditionalFormatting>
  <x:conditionalFormatting sqref="D92:D92">
    <x:cfRule type="expression" dxfId="75" priority="76">
      <x:formula>$J92=0</x:formula>
    </x:cfRule>
  </x:conditionalFormatting>
  <x:conditionalFormatting sqref="E92:F92">
    <x:cfRule type="expression" dxfId="76" priority="77">
      <x:formula>$K92=0</x:formula>
    </x:cfRule>
  </x:conditionalFormatting>
  <x:conditionalFormatting sqref="D99:D99">
    <x:cfRule type="expression" dxfId="77" priority="78">
      <x:formula>$J99=0</x:formula>
    </x:cfRule>
  </x:conditionalFormatting>
  <x:conditionalFormatting sqref="E99:F99">
    <x:cfRule type="expression" dxfId="78" priority="79">
      <x:formula>$K99=0</x:formula>
    </x:cfRule>
  </x:conditionalFormatting>
  <x:conditionalFormatting sqref="D100:D100">
    <x:cfRule type="expression" dxfId="79" priority="80">
      <x:formula>$J100=0</x:formula>
    </x:cfRule>
  </x:conditionalFormatting>
  <x:conditionalFormatting sqref="E100:F100">
    <x:cfRule type="expression" dxfId="80" priority="81">
      <x:formula>$K100=0</x:formula>
    </x:cfRule>
  </x:conditionalFormatting>
  <x:conditionalFormatting sqref="D101:D101">
    <x:cfRule type="expression" dxfId="81" priority="82">
      <x:formula>$J101=0</x:formula>
    </x:cfRule>
  </x:conditionalFormatting>
  <x:conditionalFormatting sqref="E101:F101">
    <x:cfRule type="expression" dxfId="82" priority="83">
      <x:formula>$K101=0</x:formula>
    </x:cfRule>
  </x:conditionalFormatting>
  <x:conditionalFormatting sqref="D102:D102">
    <x:cfRule type="expression" dxfId="83" priority="84">
      <x:formula>$J102=0</x:formula>
    </x:cfRule>
  </x:conditionalFormatting>
  <x:conditionalFormatting sqref="E102:F102">
    <x:cfRule type="expression" dxfId="84" priority="85">
      <x:formula>$K102=0</x:formula>
    </x:cfRule>
  </x:conditionalFormatting>
  <x:conditionalFormatting sqref="D103:D103">
    <x:cfRule type="expression" dxfId="85" priority="86">
      <x:formula>$J103=0</x:formula>
    </x:cfRule>
  </x:conditionalFormatting>
  <x:conditionalFormatting sqref="E103:F103">
    <x:cfRule type="expression" dxfId="86" priority="87">
      <x:formula>$K103=0</x:formula>
    </x:cfRule>
  </x:conditionalFormatting>
  <x:conditionalFormatting sqref="D104:D104">
    <x:cfRule type="expression" dxfId="87" priority="88">
      <x:formula>$J104=0</x:formula>
    </x:cfRule>
  </x:conditionalFormatting>
  <x:conditionalFormatting sqref="E104:F104">
    <x:cfRule type="expression" dxfId="88" priority="89">
      <x:formula>$K104=0</x:formula>
    </x:cfRule>
  </x:conditionalFormatting>
  <x:conditionalFormatting sqref="D105:D105">
    <x:cfRule type="expression" dxfId="89" priority="90">
      <x:formula>$J105=0</x:formula>
    </x:cfRule>
  </x:conditionalFormatting>
  <x:conditionalFormatting sqref="E105:F105">
    <x:cfRule type="expression" dxfId="90" priority="91">
      <x:formula>$K105=0</x:formula>
    </x:cfRule>
  </x:conditionalFormatting>
  <x:conditionalFormatting sqref="D106:D106">
    <x:cfRule type="expression" dxfId="91" priority="92">
      <x:formula>$J106=0</x:formula>
    </x:cfRule>
  </x:conditionalFormatting>
  <x:conditionalFormatting sqref="E106:F106">
    <x:cfRule type="expression" dxfId="92" priority="93">
      <x:formula>$K106=0</x:formula>
    </x:cfRule>
  </x:conditionalFormatting>
  <x:conditionalFormatting sqref="D107:D107">
    <x:cfRule type="expression" dxfId="93" priority="94">
      <x:formula>$J107=0</x:formula>
    </x:cfRule>
  </x:conditionalFormatting>
  <x:conditionalFormatting sqref="E107:F107">
    <x:cfRule type="expression" dxfId="94" priority="95">
      <x:formula>$K107=0</x:formula>
    </x:cfRule>
  </x:conditionalFormatting>
  <x:conditionalFormatting sqref="D108:D108">
    <x:cfRule type="expression" dxfId="95" priority="96">
      <x:formula>$J108=0</x:formula>
    </x:cfRule>
  </x:conditionalFormatting>
  <x:conditionalFormatting sqref="E108:F108">
    <x:cfRule type="expression" dxfId="96" priority="97">
      <x:formula>$K108=0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2" customHeight="1">
      <x:c r="A2" s="2"/>
      <x:c r="B2" s="5" t="str">
        <x:v>年度現金流</x:v>
      </x:c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3" customHeight="1">
      <x:c r="A3" s="2"/>
      <x:c r="B3" s="7" t="str">
        <x:v>買入交收為第 0 年，其後現金流近似在各年末。租金、年度成本及 RV 固定，樓價按年增長。</x:v>
      </x:c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24" customHeight="1">
      <x:c r="A5" s="2"/>
      <x:c r="B5" s="10" t="str">
        <x:v>方案 A：10 年年度明細</x:v>
      </x:c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</x:row>
    <x:row r="6" ht="23" customHeight="1">
      <x:c r="A6" s="2"/>
      <x:c r="B6" s="2" t="str">
        <x:v>年度</x:v>
      </x:c>
      <x:c r="C6" s="26" t="n">
        <x:v>0</x:v>
      </x:c>
      <x:c r="D6" s="23" t="n">
        <x:v>1</x:v>
      </x:c>
      <x:c r="E6" s="23" t="n">
        <x:v>2</x:v>
      </x:c>
      <x:c r="F6" s="23" t="n">
        <x:v>3</x:v>
      </x:c>
      <x:c r="G6" s="23" t="n">
        <x:v>4</x:v>
      </x:c>
      <x:c r="H6" s="23" t="n">
        <x:v>5</x:v>
      </x:c>
      <x:c r="I6" s="23" t="n">
        <x:v>6</x:v>
      </x:c>
      <x:c r="J6" s="23" t="n">
        <x:v>7</x:v>
      </x:c>
      <x:c r="K6" s="23" t="n">
        <x:v>8</x:v>
      </x:c>
      <x:c r="L6" s="23" t="n">
        <x:v>9</x:v>
      </x:c>
      <x:c r="M6" s="23" t="n">
        <x:v>10</x:v>
      </x:c>
    </x:row>
    <x:row r="7" ht="23" customHeight="1">
      <x:c r="A7" s="2"/>
      <x:c r="B7" s="2" t="str">
        <x:v>實收租金月數</x:v>
      </x:c>
      <x:c r="C7" s="2"/>
      <x:c r="D7" s="34" t="n">
        <x:f>12-IF(D$6=1,'進階假設'!$D$17,'進階假設'!$D$18)</x:f>
        <x:v>9</x:v>
      </x:c>
      <x:c r="E7" s="34" t="n">
        <x:f>12-IF(E$6=1,'進階假設'!$D$17,'進階假設'!$D$18)</x:f>
        <x:v>11</x:v>
      </x:c>
      <x:c r="F7" s="34" t="n">
        <x:f>12-IF(F$6=1,'進階假設'!$D$17,'進階假設'!$D$18)</x:f>
        <x:v>11</x:v>
      </x:c>
      <x:c r="G7" s="34" t="n">
        <x:f>12-IF(G$6=1,'進階假設'!$D$17,'進階假設'!$D$18)</x:f>
        <x:v>11</x:v>
      </x:c>
      <x:c r="H7" s="34" t="n">
        <x:f>12-IF(H$6=1,'進階假設'!$D$17,'進階假設'!$D$18)</x:f>
        <x:v>11</x:v>
      </x:c>
      <x:c r="I7" s="34" t="n">
        <x:f>12-IF(I$6=1,'進階假設'!$D$17,'進階假設'!$D$18)</x:f>
        <x:v>11</x:v>
      </x:c>
      <x:c r="J7" s="34" t="n">
        <x:f>12-IF(J$6=1,'進階假設'!$D$17,'進階假設'!$D$18)</x:f>
        <x:v>11</x:v>
      </x:c>
      <x:c r="K7" s="34" t="n">
        <x:f>12-IF(K$6=1,'進階假設'!$D$17,'進階假設'!$D$18)</x:f>
        <x:v>11</x:v>
      </x:c>
      <x:c r="L7" s="34" t="n">
        <x:f>12-IF(L$6=1,'進階假設'!$D$17,'進階假設'!$D$18)</x:f>
        <x:v>11</x:v>
      </x:c>
      <x:c r="M7" s="34" t="n">
        <x:f>12-IF(M$6=1,'進階假設'!$D$17,'進階假設'!$D$18)</x:f>
        <x:v>11</x:v>
      </x:c>
    </x:row>
    <x:row r="8" ht="23" customHeight="1">
      <x:c r="A8" s="2"/>
      <x:c r="B8" s="27" t="str">
        <x:v>租金收入</x:v>
      </x:c>
      <x:c r="C8" s="27"/>
      <x:c r="D8" s="46" t="n">
        <x:f>'進階假設'!$D$8*D7</x:f>
        <x:v>153000</x:v>
      </x:c>
      <x:c r="E8" s="46" t="n">
        <x:f>'進階假設'!$D$8*E7</x:f>
        <x:v>187000</x:v>
      </x:c>
      <x:c r="F8" s="46" t="n">
        <x:f>'進階假設'!$D$8*F7</x:f>
        <x:v>187000</x:v>
      </x:c>
      <x:c r="G8" s="46" t="n">
        <x:f>'進階假設'!$D$8*G7</x:f>
        <x:v>187000</x:v>
      </x:c>
      <x:c r="H8" s="46" t="n">
        <x:f>'進階假設'!$D$8*H7</x:f>
        <x:v>187000</x:v>
      </x:c>
      <x:c r="I8" s="46" t="n">
        <x:f>'進階假設'!$D$8*I7</x:f>
        <x:v>187000</x:v>
      </x:c>
      <x:c r="J8" s="46" t="n">
        <x:f>'進階假設'!$D$8*J7</x:f>
        <x:v>187000</x:v>
      </x:c>
      <x:c r="K8" s="46" t="n">
        <x:f>'進階假設'!$D$8*K7</x:f>
        <x:v>187000</x:v>
      </x:c>
      <x:c r="L8" s="46" t="n">
        <x:f>'進階假設'!$D$8*L7</x:f>
        <x:v>187000</x:v>
      </x:c>
      <x:c r="M8" s="46" t="n">
        <x:f>'進階假設'!$D$8*M7</x:f>
        <x:v>187000</x:v>
      </x:c>
    </x:row>
    <x:row r="9" ht="23" customHeight="1">
      <x:c r="A9" s="2"/>
      <x:c r="B9" s="2" t="str">
        <x:v>自動簽約份數</x:v>
      </x:c>
      <x:c r="C9" s="2"/>
      <x:c r="D9" s="34" t="n">
        <x:f>IF(ISNUMBER('進階假設'!$D$83),'進階假設'!$D$83,IF(D7=0,0,MAX(0,INT((D$6*12-'進階假設'!$D$17-0.000000001)/'進階假設'!$D$30)+1)-MAX(0,INT(((D$6-1)*12-'進階假設'!$D$17-0.000000001)/'進階假設'!$D$30)+1)))</x:f>
        <x:v>1</x:v>
      </x:c>
      <x:c r="E9" s="34" t="n">
        <x:f>IF(ISNUMBER('進階假設'!$D$84),'進階假設'!$D$84,IF(E7=0,0,MAX(0,INT((E$6*12-'進階假設'!$D$17-0.000000001)/'進階假設'!$D$30)+1)-MAX(0,INT(((E$6-1)*12-'進階假設'!$D$17-0.000000001)/'進階假設'!$D$30)+1)))</x:f>
        <x:v>0</x:v>
      </x:c>
      <x:c r="F9" s="34" t="n">
        <x:f>IF(ISNUMBER('進階假設'!$D$85),'進階假設'!$D$85,IF(F7=0,0,MAX(0,INT((F$6*12-'進階假設'!$D$17-0.000000001)/'進階假設'!$D$30)+1)-MAX(0,INT(((F$6-1)*12-'進階假設'!$D$17-0.000000001)/'進階假設'!$D$30)+1)))</x:f>
        <x:v>1</x:v>
      </x:c>
      <x:c r="G9" s="34" t="n">
        <x:f>IF(ISNUMBER('進階假設'!$D$86),'進階假設'!$D$86,IF(G7=0,0,MAX(0,INT((G$6*12-'進階假設'!$D$17-0.000000001)/'進階假設'!$D$30)+1)-MAX(0,INT(((G$6-1)*12-'進階假設'!$D$17-0.000000001)/'進階假設'!$D$30)+1)))</x:f>
        <x:v>0</x:v>
      </x:c>
      <x:c r="H9" s="34" t="n">
        <x:f>IF(ISNUMBER('進階假設'!$D$87),'進階假設'!$D$87,IF(H7=0,0,MAX(0,INT((H$6*12-'進階假設'!$D$17-0.000000001)/'進階假設'!$D$30)+1)-MAX(0,INT(((H$6-1)*12-'進階假設'!$D$17-0.000000001)/'進階假設'!$D$30)+1)))</x:f>
        <x:v>1</x:v>
      </x:c>
      <x:c r="I9" s="34" t="n">
        <x:f>IF(ISNUMBER('進階假設'!$D$88),'進階假設'!$D$88,IF(I7=0,0,MAX(0,INT((I$6*12-'進階假設'!$D$17-0.000000001)/'進階假設'!$D$30)+1)-MAX(0,INT(((I$6-1)*12-'進階假設'!$D$17-0.000000001)/'進階假設'!$D$30)+1)))</x:f>
        <x:v>0</x:v>
      </x:c>
      <x:c r="J9" s="34" t="n">
        <x:f>IF(ISNUMBER('進階假設'!$D$89),'進階假設'!$D$89,IF(J7=0,0,MAX(0,INT((J$6*12-'進階假設'!$D$17-0.000000001)/'進階假設'!$D$30)+1)-MAX(0,INT(((J$6-1)*12-'進階假設'!$D$17-0.000000001)/'進階假設'!$D$30)+1)))</x:f>
        <x:v>1</x:v>
      </x:c>
      <x:c r="K9" s="34" t="n">
        <x:f>IF(ISNUMBER('進階假設'!$D$90),'進階假設'!$D$90,IF(K7=0,0,MAX(0,INT((K$6*12-'進階假設'!$D$17-0.000000001)/'進階假設'!$D$30)+1)-MAX(0,INT(((K$6-1)*12-'進階假設'!$D$17-0.000000001)/'進階假設'!$D$30)+1)))</x:f>
        <x:v>0</x:v>
      </x:c>
      <x:c r="L9" s="34" t="n">
        <x:f>IF(ISNUMBER('進階假設'!$D$91),'進階假設'!$D$91,IF(L7=0,0,MAX(0,INT((L$6*12-'進階假設'!$D$17-0.000000001)/'進階假設'!$D$30)+1)-MAX(0,INT(((L$6-1)*12-'進階假設'!$D$17-0.000000001)/'進階假設'!$D$30)+1)))</x:f>
        <x:v>1</x:v>
      </x:c>
      <x:c r="M9" s="34" t="n">
        <x:f>IF(ISNUMBER('進階假設'!$D$92),'進階假設'!$D$92,IF(M7=0,0,MAX(0,INT((M$6*12-'進階假設'!$D$17-0.000000001)/'進階假設'!$D$30)+1)-MAX(0,INT(((M$6-1)*12-'進階假設'!$D$17-0.000000001)/'進階假設'!$D$30)+1)))</x:f>
        <x:v>0</x:v>
      </x:c>
    </x:row>
    <x:row r="10" ht="23" customHeight="1">
      <x:c r="A10" s="2"/>
      <x:c r="B10" s="2" t="str">
        <x:v>招租佣金</x:v>
      </x:c>
      <x:c r="C10" s="2"/>
      <x:c r="D10" s="34" t="n">
        <x:f>IF(ISNUMBER('進階假設'!$D$99),'進階假設'!$D$99,D9)*'進階假設'!$D$8*'進階假設'!$D$29</x:f>
        <x:v>8500</x:v>
      </x:c>
      <x:c r="E10" s="34" t="n">
        <x:f>IF(ISNUMBER('進階假設'!$D$100),'進階假設'!$D$100,E9)*'進階假設'!$D$8*'進階假設'!$D$29</x:f>
        <x:v>0</x:v>
      </x:c>
      <x:c r="F10" s="34" t="n">
        <x:f>IF(ISNUMBER('進階假設'!$D$101),'進階假設'!$D$101,F9)*'進階假設'!$D$8*'進階假設'!$D$29</x:f>
        <x:v>8500</x:v>
      </x:c>
      <x:c r="G10" s="34" t="n">
        <x:f>IF(ISNUMBER('進階假設'!$D$102),'進階假設'!$D$102,G9)*'進階假設'!$D$8*'進階假設'!$D$29</x:f>
        <x:v>0</x:v>
      </x:c>
      <x:c r="H10" s="34" t="n">
        <x:f>IF(ISNUMBER('進階假設'!$D$103),'進階假設'!$D$103,H9)*'進階假設'!$D$8*'進階假設'!$D$29</x:f>
        <x:v>8500</x:v>
      </x:c>
      <x:c r="I10" s="34" t="n">
        <x:f>IF(ISNUMBER('進階假設'!$D$104),'進階假設'!$D$104,I9)*'進階假設'!$D$8*'進階假設'!$D$29</x:f>
        <x:v>0</x:v>
      </x:c>
      <x:c r="J10" s="34" t="n">
        <x:f>IF(ISNUMBER('進階假設'!$D$105),'進階假設'!$D$105,J9)*'進階假設'!$D$8*'進階假設'!$D$29</x:f>
        <x:v>8500</x:v>
      </x:c>
      <x:c r="K10" s="34" t="n">
        <x:f>IF(ISNUMBER('進階假設'!$D$106),'進階假設'!$D$106,K9)*'進階假設'!$D$8*'進階假設'!$D$29</x:f>
        <x:v>0</x:v>
      </x:c>
      <x:c r="L10" s="34" t="n">
        <x:f>IF(ISNUMBER('進階假設'!$D$107),'進階假設'!$D$107,L9)*'進階假設'!$D$8*'進階假設'!$D$29</x:f>
        <x:v>8500</x:v>
      </x:c>
      <x:c r="M10" s="34" t="n">
        <x:f>IF(ISNUMBER('進階假設'!$D$108),'進階假設'!$D$108,M9)*'進階假設'!$D$8*'進階假設'!$D$29</x:f>
        <x:v>0</x:v>
      </x:c>
    </x:row>
    <x:row r="11" ht="23" customHeight="1">
      <x:c r="A11" s="2"/>
      <x:c r="B11" s="2" t="str">
        <x:v>租約印花稅（業主）</x:v>
      </x:c>
      <x:c r="C11" s="2"/>
      <x:c r="D11" s="34" t="n">
        <x:f>D9*'進階假設'!$D$57</x:f>
        <x:v>512.5</x:v>
      </x:c>
      <x:c r="E11" s="34" t="n">
        <x:f>E9*'進階假設'!$D$57</x:f>
        <x:v>0</x:v>
      </x:c>
      <x:c r="F11" s="34" t="n">
        <x:f>F9*'進階假設'!$D$57</x:f>
        <x:v>512.5</x:v>
      </x:c>
      <x:c r="G11" s="34" t="n">
        <x:f>G9*'進階假設'!$D$57</x:f>
        <x:v>0</x:v>
      </x:c>
      <x:c r="H11" s="34" t="n">
        <x:f>H9*'進階假設'!$D$57</x:f>
        <x:v>512.5</x:v>
      </x:c>
      <x:c r="I11" s="34" t="n">
        <x:f>I9*'進階假設'!$D$57</x:f>
        <x:v>0</x:v>
      </x:c>
      <x:c r="J11" s="34" t="n">
        <x:f>J9*'進階假設'!$D$57</x:f>
        <x:v>512.5</x:v>
      </x:c>
      <x:c r="K11" s="34" t="n">
        <x:f>K9*'進階假設'!$D$57</x:f>
        <x:v>0</x:v>
      </x:c>
      <x:c r="L11" s="34" t="n">
        <x:f>L9*'進階假設'!$D$57</x:f>
        <x:v>512.5</x:v>
      </x:c>
      <x:c r="M11" s="34" t="n">
        <x:f>M9*'進階假設'!$D$57</x:f>
        <x:v>0</x:v>
      </x:c>
    </x:row>
    <x:row r="12" ht="23" customHeight="1">
      <x:c r="A12" s="2"/>
      <x:c r="B12" s="2" t="str">
        <x:v>管理費</x:v>
      </x:c>
      <x:c r="C12" s="2"/>
      <x:c r="D12" s="34" t="n">
        <x:f>'進階假設'!$D$23</x:f>
        <x:v>12000</x:v>
      </x:c>
      <x:c r="E12" s="34" t="n">
        <x:f>'進階假設'!$D$23</x:f>
        <x:v>12000</x:v>
      </x:c>
      <x:c r="F12" s="34" t="n">
        <x:f>'進階假設'!$D$23</x:f>
        <x:v>12000</x:v>
      </x:c>
      <x:c r="G12" s="34" t="n">
        <x:f>'進階假設'!$D$23</x:f>
        <x:v>12000</x:v>
      </x:c>
      <x:c r="H12" s="34" t="n">
        <x:f>'進階假設'!$D$23</x:f>
        <x:v>12000</x:v>
      </x:c>
      <x:c r="I12" s="34" t="n">
        <x:f>'進階假設'!$D$23</x:f>
        <x:v>12000</x:v>
      </x:c>
      <x:c r="J12" s="34" t="n">
        <x:f>'進階假設'!$D$23</x:f>
        <x:v>12000</x:v>
      </x:c>
      <x:c r="K12" s="34" t="n">
        <x:f>'進階假設'!$D$23</x:f>
        <x:v>12000</x:v>
      </x:c>
      <x:c r="L12" s="34" t="n">
        <x:f>'進階假設'!$D$23</x:f>
        <x:v>12000</x:v>
      </x:c>
      <x:c r="M12" s="34" t="n">
        <x:f>'進階假設'!$D$23</x:f>
        <x:v>12000</x:v>
      </x:c>
    </x:row>
    <x:row r="13" ht="23" customHeight="1">
      <x:c r="A13" s="2"/>
      <x:c r="B13" s="2" t="str">
        <x:v>差餉</x:v>
      </x:c>
      <x:c r="C13" s="2"/>
      <x:c r="D13" s="34" t="n">
        <x:f>'進階假設'!$D$47</x:f>
        <x:v>10200</x:v>
      </x:c>
      <x:c r="E13" s="34" t="n">
        <x:f>'進階假設'!$D$47</x:f>
        <x:v>10200</x:v>
      </x:c>
      <x:c r="F13" s="34" t="n">
        <x:f>'進階假設'!$D$47</x:f>
        <x:v>10200</x:v>
      </x:c>
      <x:c r="G13" s="34" t="n">
        <x:f>'進階假設'!$D$47</x:f>
        <x:v>10200</x:v>
      </x:c>
      <x:c r="H13" s="34" t="n">
        <x:f>'進階假設'!$D$47</x:f>
        <x:v>10200</x:v>
      </x:c>
      <x:c r="I13" s="34" t="n">
        <x:f>'進階假設'!$D$47</x:f>
        <x:v>10200</x:v>
      </x:c>
      <x:c r="J13" s="34" t="n">
        <x:f>'進階假設'!$D$47</x:f>
        <x:v>10200</x:v>
      </x:c>
      <x:c r="K13" s="34" t="n">
        <x:f>'進階假設'!$D$47</x:f>
        <x:v>10200</x:v>
      </x:c>
      <x:c r="L13" s="34" t="n">
        <x:f>'進階假設'!$D$47</x:f>
        <x:v>10200</x:v>
      </x:c>
      <x:c r="M13" s="34" t="n">
        <x:f>'進階假設'!$D$47</x:f>
        <x:v>10200</x:v>
      </x:c>
    </x:row>
    <x:row r="14" ht="23" customHeight="1">
      <x:c r="A14" s="2"/>
      <x:c r="B14" s="2" t="str">
        <x:v>地租</x:v>
      </x:c>
      <x:c r="C14" s="2"/>
      <x:c r="D14" s="34" t="n">
        <x:f>'進階假設'!$D$48</x:f>
        <x:v>6120</x:v>
      </x:c>
      <x:c r="E14" s="34" t="n">
        <x:f>'進階假設'!$D$48</x:f>
        <x:v>6120</x:v>
      </x:c>
      <x:c r="F14" s="34" t="n">
        <x:f>'進階假設'!$D$48</x:f>
        <x:v>6120</x:v>
      </x:c>
      <x:c r="G14" s="34" t="n">
        <x:f>'進階假設'!$D$48</x:f>
        <x:v>6120</x:v>
      </x:c>
      <x:c r="H14" s="34" t="n">
        <x:f>'進階假設'!$D$48</x:f>
        <x:v>6120</x:v>
      </x:c>
      <x:c r="I14" s="34" t="n">
        <x:f>'進階假設'!$D$48</x:f>
        <x:v>6120</x:v>
      </x:c>
      <x:c r="J14" s="34" t="n">
        <x:f>'進階假設'!$D$48</x:f>
        <x:v>6120</x:v>
      </x:c>
      <x:c r="K14" s="34" t="n">
        <x:f>'進階假設'!$D$48</x:f>
        <x:v>6120</x:v>
      </x:c>
      <x:c r="L14" s="34" t="n">
        <x:f>'進階假設'!$D$48</x:f>
        <x:v>6120</x:v>
      </x:c>
      <x:c r="M14" s="34" t="n">
        <x:f>'進階假設'!$D$48</x:f>
        <x:v>6120</x:v>
      </x:c>
    </x:row>
    <x:row r="15" ht="23" customHeight="1">
      <x:c r="A15" s="2"/>
      <x:c r="B15" s="2" t="str">
        <x:v>保險</x:v>
      </x:c>
      <x:c r="C15" s="2"/>
      <x:c r="D15" s="34" t="n">
        <x:f>'進階假設'!$D$26</x:f>
        <x:v>2500</x:v>
      </x:c>
      <x:c r="E15" s="34" t="n">
        <x:f>'進階假設'!$D$26</x:f>
        <x:v>2500</x:v>
      </x:c>
      <x:c r="F15" s="34" t="n">
        <x:f>'進階假設'!$D$26</x:f>
        <x:v>2500</x:v>
      </x:c>
      <x:c r="G15" s="34" t="n">
        <x:f>'進階假設'!$D$26</x:f>
        <x:v>2500</x:v>
      </x:c>
      <x:c r="H15" s="34" t="n">
        <x:f>'進階假設'!$D$26</x:f>
        <x:v>2500</x:v>
      </x:c>
      <x:c r="I15" s="34" t="n">
        <x:f>'進階假設'!$D$26</x:f>
        <x:v>2500</x:v>
      </x:c>
      <x:c r="J15" s="34" t="n">
        <x:f>'進階假設'!$D$26</x:f>
        <x:v>2500</x:v>
      </x:c>
      <x:c r="K15" s="34" t="n">
        <x:f>'進階假設'!$D$26</x:f>
        <x:v>2500</x:v>
      </x:c>
      <x:c r="L15" s="34" t="n">
        <x:f>'進階假設'!$D$26</x:f>
        <x:v>2500</x:v>
      </x:c>
      <x:c r="M15" s="34" t="n">
        <x:f>'進階假設'!$D$26</x:f>
        <x:v>2500</x:v>
      </x:c>
    </x:row>
    <x:row r="16" ht="23" customHeight="1">
      <x:c r="A16" s="2"/>
      <x:c r="B16" s="2" t="str">
        <x:v>日常維修</x:v>
      </x:c>
      <x:c r="C16" s="2"/>
      <x:c r="D16" s="34" t="n">
        <x:f>'進階假設'!$D$27</x:f>
        <x:v>8000</x:v>
      </x:c>
      <x:c r="E16" s="34" t="n">
        <x:f>'進階假設'!$D$27</x:f>
        <x:v>8000</x:v>
      </x:c>
      <x:c r="F16" s="34" t="n">
        <x:f>'進階假設'!$D$27</x:f>
        <x:v>8000</x:v>
      </x:c>
      <x:c r="G16" s="34" t="n">
        <x:f>'進階假設'!$D$27</x:f>
        <x:v>8000</x:v>
      </x:c>
      <x:c r="H16" s="34" t="n">
        <x:f>'進階假設'!$D$27</x:f>
        <x:v>8000</x:v>
      </x:c>
      <x:c r="I16" s="34" t="n">
        <x:f>'進階假設'!$D$27</x:f>
        <x:v>8000</x:v>
      </x:c>
      <x:c r="J16" s="34" t="n">
        <x:f>'進階假設'!$D$27</x:f>
        <x:v>8000</x:v>
      </x:c>
      <x:c r="K16" s="34" t="n">
        <x:f>'進階假設'!$D$27</x:f>
        <x:v>8000</x:v>
      </x:c>
      <x:c r="L16" s="34" t="n">
        <x:f>'進階假設'!$D$27</x:f>
        <x:v>8000</x:v>
      </x:c>
      <x:c r="M16" s="34" t="n">
        <x:f>'進階假設'!$D$27</x:f>
        <x:v>8000</x:v>
      </x:c>
    </x:row>
    <x:row r="17" ht="23" customHeight="1">
      <x:c r="A17" s="2"/>
      <x:c r="B17" s="2" t="str">
        <x:v>預計大修／更新支出</x:v>
      </x:c>
      <x:c r="C17" s="2"/>
      <x:c r="D17" s="34" t="n">
        <x:f>'進階假設'!$D$28</x:f>
        <x:v>0</x:v>
      </x:c>
      <x:c r="E17" s="34" t="n">
        <x:f>'進階假設'!$D$28</x:f>
        <x:v>0</x:v>
      </x:c>
      <x:c r="F17" s="34" t="n">
        <x:f>'進階假設'!$D$28</x:f>
        <x:v>0</x:v>
      </x:c>
      <x:c r="G17" s="34" t="n">
        <x:f>'進階假設'!$D$28</x:f>
        <x:v>0</x:v>
      </x:c>
      <x:c r="H17" s="34" t="n">
        <x:f>'進階假設'!$D$28</x:f>
        <x:v>0</x:v>
      </x:c>
      <x:c r="I17" s="34" t="n">
        <x:f>'進階假設'!$D$28</x:f>
        <x:v>0</x:v>
      </x:c>
      <x:c r="J17" s="34" t="n">
        <x:f>'進階假設'!$D$28</x:f>
        <x:v>0</x:v>
      </x:c>
      <x:c r="K17" s="34" t="n">
        <x:f>'進階假設'!$D$28</x:f>
        <x:v>0</x:v>
      </x:c>
      <x:c r="L17" s="34" t="n">
        <x:f>'進階假設'!$D$28</x:f>
        <x:v>0</x:v>
      </x:c>
      <x:c r="M17" s="34" t="n">
        <x:f>'進階假設'!$D$28</x:f>
        <x:v>0</x:v>
      </x:c>
    </x:row>
    <x:row r="18" ht="23" customHeight="1">
      <x:c r="A18" s="2"/>
      <x:c r="B18" s="2" t="str">
        <x:v>額外工程</x:v>
      </x:c>
      <x:c r="C18" s="2"/>
      <x:c r="D18" s="34" t="n">
        <x:f>'進階假設'!$D$65</x:f>
        <x:v>0</x:v>
      </x:c>
      <x:c r="E18" s="34" t="n">
        <x:f>'進階假設'!$D$66</x:f>
        <x:v>0</x:v>
      </x:c>
      <x:c r="F18" s="34" t="n">
        <x:f>'進階假設'!$D$67</x:f>
        <x:v>0</x:v>
      </x:c>
      <x:c r="G18" s="34" t="n">
        <x:f>'進階假設'!$D$68</x:f>
        <x:v>0</x:v>
      </x:c>
      <x:c r="H18" s="34" t="n">
        <x:f>'進階假設'!$D$69</x:f>
        <x:v>0</x:v>
      </x:c>
      <x:c r="I18" s="34" t="n">
        <x:f>'進階假設'!$D$70</x:f>
        <x:v>0</x:v>
      </x:c>
      <x:c r="J18" s="34" t="n">
        <x:f>'進階假設'!$D$71</x:f>
        <x:v>0</x:v>
      </x:c>
      <x:c r="K18" s="34" t="n">
        <x:f>'進階假設'!$D$72</x:f>
        <x:v>0</x:v>
      </x:c>
      <x:c r="L18" s="34" t="n">
        <x:f>'進階假設'!$D$73</x:f>
        <x:v>0</x:v>
      </x:c>
      <x:c r="M18" s="34" t="n">
        <x:f>'進階假設'!$D$74</x:f>
        <x:v>0</x:v>
      </x:c>
    </x:row>
    <x:row r="19" ht="23" customHeight="1">
      <x:c r="A19" s="2"/>
      <x:c r="B19" s="27" t="str">
        <x:v>營運支出合計</x:v>
      </x:c>
      <x:c r="C19" s="27"/>
      <x:c r="D19" s="49" t="n">
        <x:f>SUM(D10:D18)</x:f>
        <x:v>47832.5</x:v>
      </x:c>
      <x:c r="E19" s="49" t="n">
        <x:f>SUM(E10:E18)</x:f>
        <x:v>38820</x:v>
      </x:c>
      <x:c r="F19" s="49" t="n">
        <x:f>SUM(F10:F18)</x:f>
        <x:v>47832.5</x:v>
      </x:c>
      <x:c r="G19" s="49" t="n">
        <x:f>SUM(G10:G18)</x:f>
        <x:v>38820</x:v>
      </x:c>
      <x:c r="H19" s="49" t="n">
        <x:f>SUM(H10:H18)</x:f>
        <x:v>47832.5</x:v>
      </x:c>
      <x:c r="I19" s="49" t="n">
        <x:f>SUM(I10:I18)</x:f>
        <x:v>38820</x:v>
      </x:c>
      <x:c r="J19" s="49" t="n">
        <x:f>SUM(J10:J18)</x:f>
        <x:v>47832.5</x:v>
      </x:c>
      <x:c r="K19" s="49" t="n">
        <x:f>SUM(K10:K18)</x:f>
        <x:v>38820</x:v>
      </x:c>
      <x:c r="L19" s="49" t="n">
        <x:f>SUM(L10:L18)</x:f>
        <x:v>47832.5</x:v>
      </x:c>
      <x:c r="M19" s="49" t="n">
        <x:f>SUM(M10:M18)</x:f>
        <x:v>38820</x:v>
      </x:c>
    </x:row>
    <x:row r="20" ht="23" customHeight="1">
      <x:c r="A20" s="2"/>
      <x:c r="B20" s="27" t="str">
        <x:v>全現金營運現金（稅前）</x:v>
      </x:c>
      <x:c r="C20" s="27"/>
      <x:c r="D20" s="49" t="n">
        <x:f>D8-D19</x:f>
        <x:v>105167.5</x:v>
      </x:c>
      <x:c r="E20" s="49" t="n">
        <x:f>E8-E19</x:f>
        <x:v>148180</x:v>
      </x:c>
      <x:c r="F20" s="49" t="n">
        <x:f>F8-F19</x:f>
        <x:v>139167.5</x:v>
      </x:c>
      <x:c r="G20" s="49" t="n">
        <x:f>G8-G19</x:f>
        <x:v>148180</x:v>
      </x:c>
      <x:c r="H20" s="49" t="n">
        <x:f>H8-H19</x:f>
        <x:v>139167.5</x:v>
      </x:c>
      <x:c r="I20" s="49" t="n">
        <x:f>I8-I19</x:f>
        <x:v>148180</x:v>
      </x:c>
      <x:c r="J20" s="49" t="n">
        <x:f>J8-J19</x:f>
        <x:v>139167.5</x:v>
      </x:c>
      <x:c r="K20" s="49" t="n">
        <x:f>K8-K19</x:f>
        <x:v>148180</x:v>
      </x:c>
      <x:c r="L20" s="49" t="n">
        <x:f>L8-L19</x:f>
        <x:v>139167.5</x:v>
      </x:c>
      <x:c r="M20" s="49" t="n">
        <x:f>M8-M19</x:f>
        <x:v>148180</x:v>
      </x:c>
    </x:row>
    <x:row r="21" ht="23" customHeight="1">
      <x:c r="A21" s="2"/>
      <x:c r="B21" s="2" t="str">
        <x:v>可扣稅差餉</x:v>
      </x:c>
      <x:c r="C21" s="2"/>
      <x:c r="D21" s="34" t="n">
        <x:f>D13*IF(D$6=1,'進階假設'!$D$35,1)</x:f>
        <x:v>10200</x:v>
      </x:c>
      <x:c r="E21" s="34" t="n">
        <x:f>E13*IF(E$6=1,'進階假設'!$D$35,1)</x:f>
        <x:v>10200</x:v>
      </x:c>
      <x:c r="F21" s="34" t="n">
        <x:f>F13*IF(F$6=1,'進階假設'!$D$35,1)</x:f>
        <x:v>10200</x:v>
      </x:c>
      <x:c r="G21" s="34" t="n">
        <x:f>G13*IF(G$6=1,'進階假設'!$D$35,1)</x:f>
        <x:v>10200</x:v>
      </x:c>
      <x:c r="H21" s="34" t="n">
        <x:f>H13*IF(H$6=1,'進階假設'!$D$35,1)</x:f>
        <x:v>10200</x:v>
      </x:c>
      <x:c r="I21" s="34" t="n">
        <x:f>I13*IF(I$6=1,'進階假設'!$D$35,1)</x:f>
        <x:v>10200</x:v>
      </x:c>
      <x:c r="J21" s="34" t="n">
        <x:f>J13*IF(J$6=1,'進階假設'!$D$35,1)</x:f>
        <x:v>10200</x:v>
      </x:c>
      <x:c r="K21" s="34" t="n">
        <x:f>K13*IF(K$6=1,'進階假設'!$D$35,1)</x:f>
        <x:v>10200</x:v>
      </x:c>
      <x:c r="L21" s="34" t="n">
        <x:f>L13*IF(L$6=1,'進階假設'!$D$35,1)</x:f>
        <x:v>10200</x:v>
      </x:c>
      <x:c r="M21" s="34" t="n">
        <x:f>M13*IF(M$6=1,'進階假設'!$D$35,1)</x:f>
        <x:v>10200</x:v>
      </x:c>
    </x:row>
    <x:row r="22" ht="23" customHeight="1">
      <x:c r="A22" s="2"/>
      <x:c r="B22" s="2" t="str">
        <x:v>普通物業稅</x:v>
      </x:c>
      <x:c r="C22" s="2"/>
      <x:c r="D22" s="34" t="n">
        <x:f>MAX(0,D8-D21)*(1-'進階假設'!$D$38)*'進階假設'!$D$37</x:f>
        <x:v>17136</x:v>
      </x:c>
      <x:c r="E22" s="34" t="n">
        <x:f>MAX(0,E8-E21)*(1-'進階假設'!$D$38)*'進階假設'!$D$37</x:f>
        <x:v>21216</x:v>
      </x:c>
      <x:c r="F22" s="34" t="n">
        <x:f>MAX(0,F8-F21)*(1-'進階假設'!$D$38)*'進階假設'!$D$37</x:f>
        <x:v>21216</x:v>
      </x:c>
      <x:c r="G22" s="34" t="n">
        <x:f>MAX(0,G8-G21)*(1-'進階假設'!$D$38)*'進階假設'!$D$37</x:f>
        <x:v>21216</x:v>
      </x:c>
      <x:c r="H22" s="34" t="n">
        <x:f>MAX(0,H8-H21)*(1-'進階假設'!$D$38)*'進階假設'!$D$37</x:f>
        <x:v>21216</x:v>
      </x:c>
      <x:c r="I22" s="34" t="n">
        <x:f>MAX(0,I8-I21)*(1-'進階假設'!$D$38)*'進階假設'!$D$37</x:f>
        <x:v>21216</x:v>
      </x:c>
      <x:c r="J22" s="34" t="n">
        <x:f>MAX(0,J8-J21)*(1-'進階假設'!$D$38)*'進階假設'!$D$37</x:f>
        <x:v>21216</x:v>
      </x:c>
      <x:c r="K22" s="34" t="n">
        <x:f>MAX(0,K8-K21)*(1-'進階假設'!$D$38)*'進階假設'!$D$37</x:f>
        <x:v>21216</x:v>
      </x:c>
      <x:c r="L22" s="34" t="n">
        <x:f>MAX(0,L8-L21)*(1-'進階假設'!$D$38)*'進階假設'!$D$37</x:f>
        <x:v>21216</x:v>
      </x:c>
      <x:c r="M22" s="34" t="n">
        <x:f>MAX(0,M8-M21)*(1-'進階假設'!$D$38)*'進階假設'!$D$37</x:f>
        <x:v>21216</x:v>
      </x:c>
    </x:row>
    <x:row r="23" ht="23" customHeight="1">
      <x:c r="A23" s="2"/>
      <x:c r="B23" s="27" t="str">
        <x:v>全現金營運現金（稅後）</x:v>
      </x:c>
      <x:c r="C23" s="27"/>
      <x:c r="D23" s="49" t="n">
        <x:f>D20-D22</x:f>
        <x:v>88031.5</x:v>
      </x:c>
      <x:c r="E23" s="49" t="n">
        <x:f>E20-E22</x:f>
        <x:v>126964</x:v>
      </x:c>
      <x:c r="F23" s="49" t="n">
        <x:f>F20-F22</x:f>
        <x:v>117951.5</x:v>
      </x:c>
      <x:c r="G23" s="49" t="n">
        <x:f>G20-G22</x:f>
        <x:v>126964</x:v>
      </x:c>
      <x:c r="H23" s="49" t="n">
        <x:f>H20-H22</x:f>
        <x:v>117951.5</x:v>
      </x:c>
      <x:c r="I23" s="49" t="n">
        <x:f>I20-I22</x:f>
        <x:v>126964</x:v>
      </x:c>
      <x:c r="J23" s="49" t="n">
        <x:f>J20-J22</x:f>
        <x:v>117951.5</x:v>
      </x:c>
      <x:c r="K23" s="49" t="n">
        <x:f>K20-K22</x:f>
        <x:v>126964</x:v>
      </x:c>
      <x:c r="L23" s="49" t="n">
        <x:f>L20-L22</x:f>
        <x:v>117951.5</x:v>
      </x:c>
      <x:c r="M23" s="49" t="n">
        <x:f>M20-M22</x:f>
        <x:v>126964</x:v>
      </x:c>
    </x:row>
    <x:row r="24" ht="23" customHeight="1">
      <x:c r="A24" s="2"/>
      <x:c r="B24" s="2" t="str">
        <x:v>年初貸款</x:v>
      </x:c>
      <x:c r="C24" s="2"/>
      <x:c r="D24" s="34" t="n">
        <x:f>'進階假設'!$D$43</x:f>
        <x:v>2800000</x:v>
      </x:c>
      <x:c r="E24" s="35" t="n">
        <x:f>D26</x:f>
        <x:v>2696236.1729823947</x:v>
      </x:c>
      <x:c r="F24" s="35" t="n">
        <x:f>E26</x:f>
        <x:v>2589316.269873086</x:v>
      </x:c>
      <x:c r="G24" s="35" t="n">
        <x:f>F26</x:f>
        <x:v>2479144.2955976077</x:v>
      </x:c>
      <x:c r="H24" s="35" t="n">
        <x:f>G26</x:f>
        <x:v>2365621.335299491</x:v>
      </x:c>
      <x:c r="I24" s="35" t="n">
        <x:f>H26</x:f>
        <x:v>2248645.4655322526</x:v>
      </x:c>
      <x:c r="J24" s="35" t="n">
        <x:f>I26</x:f>
        <x:v>2128111.6627502544</x:v>
      </x:c>
      <x:c r="K24" s="35" t="n">
        <x:f>J26</x:f>
        <x:v>2003911.7090162174</x:v>
      </x:c>
      <x:c r="L24" s="35" t="n">
        <x:f>K26</x:f>
        <x:v>1875934.0948407468</x:v>
      </x:c>
      <x:c r="M24" s="35" t="n">
        <x:f>L26</x:f>
        <x:v>1744063.9190666215</x:v>
      </x:c>
    </x:row>
    <x:row r="25" ht="23" customHeight="1">
      <x:c r="A25" s="2"/>
      <x:c r="B25" s="2" t="str">
        <x:v>全年按揭供款</x:v>
      </x:c>
      <x:c r="C25" s="2"/>
      <x:c r="D25" s="34" t="n">
        <x:f>'進階假設'!$D$44*MIN(12,MAX(0,'進階假設'!$D$14*12-(D$6-1)*12))</x:f>
        <x:v>186344.79287891445</x:v>
      </x:c>
      <x:c r="E25" s="34" t="n">
        <x:f>'進階假設'!$D$44*MIN(12,MAX(0,'進階假設'!$D$14*12-(E$6-1)*12))</x:f>
        <x:v>186344.79287891445</x:v>
      </x:c>
      <x:c r="F25" s="34" t="n">
        <x:f>'進階假設'!$D$44*MIN(12,MAX(0,'進階假設'!$D$14*12-(F$6-1)*12))</x:f>
        <x:v>186344.79287891445</x:v>
      </x:c>
      <x:c r="G25" s="34" t="n">
        <x:f>'進階假設'!$D$44*MIN(12,MAX(0,'進階假設'!$D$14*12-(G$6-1)*12))</x:f>
        <x:v>186344.79287891445</x:v>
      </x:c>
      <x:c r="H25" s="34" t="n">
        <x:f>'進階假設'!$D$44*MIN(12,MAX(0,'進階假設'!$D$14*12-(H$6-1)*12))</x:f>
        <x:v>186344.79287891445</x:v>
      </x:c>
      <x:c r="I25" s="34" t="n">
        <x:f>'進階假設'!$D$44*MIN(12,MAX(0,'進階假設'!$D$14*12-(I$6-1)*12))</x:f>
        <x:v>186344.79287891445</x:v>
      </x:c>
      <x:c r="J25" s="34" t="n">
        <x:f>'進階假設'!$D$44*MIN(12,MAX(0,'進階假設'!$D$14*12-(J$6-1)*12))</x:f>
        <x:v>186344.79287891445</x:v>
      </x:c>
      <x:c r="K25" s="34" t="n">
        <x:f>'進階假設'!$D$44*MIN(12,MAX(0,'進階假設'!$D$14*12-(K$6-1)*12))</x:f>
        <x:v>186344.79287891445</x:v>
      </x:c>
      <x:c r="L25" s="34" t="n">
        <x:f>'進階假設'!$D$44*MIN(12,MAX(0,'進階假設'!$D$14*12-(L$6-1)*12))</x:f>
        <x:v>186344.79287891445</x:v>
      </x:c>
      <x:c r="M25" s="34" t="n">
        <x:f>'進階假設'!$D$44*MIN(12,MAX(0,'進階假設'!$D$14*12-(M$6-1)*12))</x:f>
        <x:v>186344.79287891445</x:v>
      </x:c>
    </x:row>
    <x:row r="26" ht="23" customHeight="1">
      <x:c r="A26" s="2"/>
      <x:c r="B26" s="27" t="str">
        <x:v>年末貸款</x:v>
      </x:c>
      <x:c r="C26" s="27"/>
      <x:c r="D26" s="46" t="n">
        <x:f>IF(MAX(0,'進階假設'!$D$14*12-D$6*12)=0,0,IF('進階假設'!$D$13=0,'進階假設'!$D$43*MAX(0,'進階假設'!$D$14*12-D$6*12)/('進階假設'!$D$14*12),'進階假設'!$D$44*(1-(1+'進階假設'!$D$13/12)^(-MAX(0,'進階假設'!$D$14*12-D$6*12)))/('進階假設'!$D$13/12)))</x:f>
        <x:v>2696236.1729823947</x:v>
      </x:c>
      <x:c r="E26" s="46" t="n">
        <x:f>IF(MAX(0,'進階假設'!$D$14*12-E$6*12)=0,0,IF('進階假設'!$D$13=0,'進階假設'!$D$43*MAX(0,'進階假設'!$D$14*12-E$6*12)/('進階假設'!$D$14*12),'進階假設'!$D$44*(1-(1+'進階假設'!$D$13/12)^(-MAX(0,'進階假設'!$D$14*12-E$6*12)))/('進階假設'!$D$13/12)))</x:f>
        <x:v>2589316.269873086</x:v>
      </x:c>
      <x:c r="F26" s="46" t="n">
        <x:f>IF(MAX(0,'進階假設'!$D$14*12-F$6*12)=0,0,IF('進階假設'!$D$13=0,'進階假設'!$D$43*MAX(0,'進階假設'!$D$14*12-F$6*12)/('進階假設'!$D$14*12),'進階假設'!$D$44*(1-(1+'進階假設'!$D$13/12)^(-MAX(0,'進階假設'!$D$14*12-F$6*12)))/('進階假設'!$D$13/12)))</x:f>
        <x:v>2479144.2955976077</x:v>
      </x:c>
      <x:c r="G26" s="46" t="n">
        <x:f>IF(MAX(0,'進階假設'!$D$14*12-G$6*12)=0,0,IF('進階假設'!$D$13=0,'進階假設'!$D$43*MAX(0,'進階假設'!$D$14*12-G$6*12)/('進階假設'!$D$14*12),'進階假設'!$D$44*(1-(1+'進階假設'!$D$13/12)^(-MAX(0,'進階假設'!$D$14*12-G$6*12)))/('進階假設'!$D$13/12)))</x:f>
        <x:v>2365621.335299491</x:v>
      </x:c>
      <x:c r="H26" s="46" t="n">
        <x:f>IF(MAX(0,'進階假設'!$D$14*12-H$6*12)=0,0,IF('進階假設'!$D$13=0,'進階假設'!$D$43*MAX(0,'進階假設'!$D$14*12-H$6*12)/('進階假設'!$D$14*12),'進階假設'!$D$44*(1-(1+'進階假設'!$D$13/12)^(-MAX(0,'進階假設'!$D$14*12-H$6*12)))/('進階假設'!$D$13/12)))</x:f>
        <x:v>2248645.4655322526</x:v>
      </x:c>
      <x:c r="I26" s="46" t="n">
        <x:f>IF(MAX(0,'進階假設'!$D$14*12-I$6*12)=0,0,IF('進階假設'!$D$13=0,'進階假設'!$D$43*MAX(0,'進階假設'!$D$14*12-I$6*12)/('進階假設'!$D$14*12),'進階假設'!$D$44*(1-(1+'進階假設'!$D$13/12)^(-MAX(0,'進階假設'!$D$14*12-I$6*12)))/('進階假設'!$D$13/12)))</x:f>
        <x:v>2128111.6627502544</x:v>
      </x:c>
      <x:c r="J26" s="46" t="n">
        <x:f>IF(MAX(0,'進階假設'!$D$14*12-J$6*12)=0,0,IF('進階假設'!$D$13=0,'進階假設'!$D$43*MAX(0,'進階假設'!$D$14*12-J$6*12)/('進階假設'!$D$14*12),'進階假設'!$D$44*(1-(1+'進階假設'!$D$13/12)^(-MAX(0,'進階假設'!$D$14*12-J$6*12)))/('進階假設'!$D$13/12)))</x:f>
        <x:v>2003911.7090162174</x:v>
      </x:c>
      <x:c r="K26" s="46" t="n">
        <x:f>IF(MAX(0,'進階假設'!$D$14*12-K$6*12)=0,0,IF('進階假設'!$D$13=0,'進階假設'!$D$43*MAX(0,'進階假設'!$D$14*12-K$6*12)/('進階假設'!$D$14*12),'進階假設'!$D$44*(1-(1+'進階假設'!$D$13/12)^(-MAX(0,'進階假設'!$D$14*12-K$6*12)))/('進階假設'!$D$13/12)))</x:f>
        <x:v>1875934.0948407468</x:v>
      </x:c>
      <x:c r="L26" s="46" t="n">
        <x:f>IF(MAX(0,'進階假設'!$D$14*12-L$6*12)=0,0,IF('進階假設'!$D$13=0,'進階假設'!$D$43*MAX(0,'進階假設'!$D$14*12-L$6*12)/('進階假設'!$D$14*12),'進階假設'!$D$44*(1-(1+'進階假設'!$D$13/12)^(-MAX(0,'進階假設'!$D$14*12-L$6*12)))/('進階假設'!$D$13/12)))</x:f>
        <x:v>1744063.9190666215</x:v>
      </x:c>
      <x:c r="M26" s="46" t="n">
        <x:f>IF(MAX(0,'進階假設'!$D$14*12-M$6*12)=0,0,IF('進階假設'!$D$13=0,'進階假設'!$D$43*MAX(0,'進階假設'!$D$14*12-M$6*12)/('進階假設'!$D$14*12),'進階假設'!$D$44*(1-(1+'進階假設'!$D$13/12)^(-MAX(0,'進階假設'!$D$14*12-M$6*12)))/('進階假設'!$D$13/12)))</x:f>
        <x:v>1608182.7857079736</x:v>
      </x:c>
    </x:row>
    <x:row r="27" ht="23" customHeight="1">
      <x:c r="A27" s="2"/>
      <x:c r="B27" s="2" t="str">
        <x:v>已還本金</x:v>
      </x:c>
      <x:c r="C27" s="2"/>
      <x:c r="D27" s="35" t="n">
        <x:f>D24-D26</x:f>
        <x:v>103763.8270176053</x:v>
      </x:c>
      <x:c r="E27" s="35" t="n">
        <x:f>E24-E26</x:f>
        <x:v>106919.9031093088</x:v>
      </x:c>
      <x:c r="F27" s="35" t="n">
        <x:f>F24-F26</x:f>
        <x:v>110171.97427547816</x:v>
      </x:c>
      <x:c r="G27" s="35" t="n">
        <x:f>G24-G26</x:f>
        <x:v>113522.96029811678</x:v>
      </x:c>
      <x:c r="H27" s="35" t="n">
        <x:f>H24-H26</x:f>
        <x:v>116975.86976723839</x:v>
      </x:c>
      <x:c r="I27" s="35" t="n">
        <x:f>I24-I26</x:f>
        <x:v>120533.80278199818</x:v>
      </x:c>
      <x:c r="J27" s="35" t="n">
        <x:f>J24-J26</x:f>
        <x:v>124199.953734037</x:v>
      </x:c>
      <x:c r="K27" s="35" t="n">
        <x:f>K24-K26</x:f>
        <x:v>127977.61417547055</x:v>
      </x:c>
      <x:c r="L27" s="35" t="n">
        <x:f>L24-L26</x:f>
        <x:v>131870.17577412538</x:v>
      </x:c>
      <x:c r="M27" s="35" t="n">
        <x:f>M24-M26</x:f>
        <x:v>135881.1333586478</x:v>
      </x:c>
    </x:row>
    <x:row r="28" ht="23" customHeight="1">
      <x:c r="A28" s="2"/>
      <x:c r="B28" s="2" t="str">
        <x:v>利息支出</x:v>
      </x:c>
      <x:c r="C28" s="2"/>
      <x:c r="D28" s="35" t="n">
        <x:f>D25-D27</x:f>
        <x:v>82580.96586130915</x:v>
      </x:c>
      <x:c r="E28" s="35" t="n">
        <x:f>E25-E27</x:f>
        <x:v>79424.88976960565</x:v>
      </x:c>
      <x:c r="F28" s="35" t="n">
        <x:f>F25-F27</x:f>
        <x:v>76172.81860343629</x:v>
      </x:c>
      <x:c r="G28" s="35" t="n">
        <x:f>G25-G27</x:f>
        <x:v>72821.83258079767</x:v>
      </x:c>
      <x:c r="H28" s="35" t="n">
        <x:f>H25-H27</x:f>
        <x:v>69368.92311167606</x:v>
      </x:c>
      <x:c r="I28" s="35" t="n">
        <x:f>I25-I27</x:f>
        <x:v>65810.99009691627</x:v>
      </x:c>
      <x:c r="J28" s="35" t="n">
        <x:f>J25-J27</x:f>
        <x:v>62144.83914487745</x:v>
      </x:c>
      <x:c r="K28" s="35" t="n">
        <x:f>K25-K27</x:f>
        <x:v>58367.178703443904</x:v>
      </x:c>
      <x:c r="L28" s="35" t="n">
        <x:f>L25-L27</x:f>
        <x:v>54474.61710478907</x:v>
      </x:c>
      <x:c r="M28" s="35" t="n">
        <x:f>M25-M27</x:f>
        <x:v>50463.659520266636</x:v>
      </x:c>
    </x:row>
    <x:row r="29" ht="23" customHeight="1">
      <x:c r="A29" s="2"/>
      <x:c r="B29" s="27" t="str">
        <x:v>按揭供款後現金（稅前）</x:v>
      </x:c>
      <x:c r="C29" s="27"/>
      <x:c r="D29" s="49" t="n">
        <x:f>D20-D25</x:f>
        <x:v>-81177.29287891445</x:v>
      </x:c>
      <x:c r="E29" s="49" t="n">
        <x:f>E20-E25</x:f>
        <x:v>-38164.79287891445</x:v>
      </x:c>
      <x:c r="F29" s="49" t="n">
        <x:f>F20-F25</x:f>
        <x:v>-47177.29287891445</x:v>
      </x:c>
      <x:c r="G29" s="49" t="n">
        <x:f>G20-G25</x:f>
        <x:v>-38164.79287891445</x:v>
      </x:c>
      <x:c r="H29" s="49" t="n">
        <x:f>H20-H25</x:f>
        <x:v>-47177.29287891445</x:v>
      </x:c>
      <x:c r="I29" s="49" t="n">
        <x:f>I20-I25</x:f>
        <x:v>-38164.79287891445</x:v>
      </x:c>
      <x:c r="J29" s="49" t="n">
        <x:f>J20-J25</x:f>
        <x:v>-47177.29287891445</x:v>
      </x:c>
      <x:c r="K29" s="49" t="n">
        <x:f>K20-K25</x:f>
        <x:v>-38164.79287891445</x:v>
      </x:c>
      <x:c r="L29" s="49" t="n">
        <x:f>L20-L25</x:f>
        <x:v>-47177.29287891445</x:v>
      </x:c>
      <x:c r="M29" s="49" t="n">
        <x:f>M20-M25</x:f>
        <x:v>-38164.79287891445</x:v>
      </x:c>
    </x:row>
    <x:row r="30" ht="23" customHeight="1">
      <x:c r="A30" s="2"/>
      <x:c r="B30" s="27" t="str">
        <x:v>按揭供款後現金（稅後）</x:v>
      </x:c>
      <x:c r="C30" s="27"/>
      <x:c r="D30" s="49" t="n">
        <x:f>D23-D25</x:f>
        <x:v>-98313.29287891445</x:v>
      </x:c>
      <x:c r="E30" s="49" t="n">
        <x:f>E23-E25</x:f>
        <x:v>-59380.79287891445</x:v>
      </x:c>
      <x:c r="F30" s="49" t="n">
        <x:f>F23-F25</x:f>
        <x:v>-68393.29287891445</x:v>
      </x:c>
      <x:c r="G30" s="49" t="n">
        <x:f>G23-G25</x:f>
        <x:v>-59380.79287891445</x:v>
      </x:c>
      <x:c r="H30" s="49" t="n">
        <x:f>H23-H25</x:f>
        <x:v>-68393.29287891445</x:v>
      </x:c>
      <x:c r="I30" s="49" t="n">
        <x:f>I23-I25</x:f>
        <x:v>-59380.79287891445</x:v>
      </x:c>
      <x:c r="J30" s="49" t="n">
        <x:f>J23-J25</x:f>
        <x:v>-68393.29287891445</x:v>
      </x:c>
      <x:c r="K30" s="49" t="n">
        <x:f>K23-K25</x:f>
        <x:v>-59380.79287891445</x:v>
      </x:c>
      <x:c r="L30" s="49" t="n">
        <x:f>L23-L25</x:f>
        <x:v>-68393.29287891445</x:v>
      </x:c>
      <x:c r="M30" s="49" t="n">
        <x:f>M23-M25</x:f>
        <x:v>-59380.79287891445</x:v>
      </x:c>
    </x:row>
    <x:row r="31" ht="23" customHeight="1">
      <x:c r="A31" s="2"/>
      <x:c r="B31" s="2" t="str">
        <x:v>按年升跌估算的售價</x:v>
      </x:c>
      <x:c r="C31" s="2"/>
      <x:c r="D31" s="34" t="n">
        <x:f>'進階假設'!$D$7*(1+'進階假設'!$D$15)^D$6</x:f>
        <x:v>4000000</x:v>
      </x:c>
      <x:c r="E31" s="34" t="n">
        <x:f>'進階假設'!$D$7*(1+'進階假設'!$D$15)^E$6</x:f>
        <x:v>4000000</x:v>
      </x:c>
      <x:c r="F31" s="34" t="n">
        <x:f>'進階假設'!$D$7*(1+'進階假設'!$D$15)^F$6</x:f>
        <x:v>4000000</x:v>
      </x:c>
      <x:c r="G31" s="34" t="n">
        <x:f>'進階假設'!$D$7*(1+'進階假設'!$D$15)^G$6</x:f>
        <x:v>4000000</x:v>
      </x:c>
      <x:c r="H31" s="34" t="n">
        <x:f>'進階假設'!$D$7*(1+'進階假設'!$D$15)^H$6</x:f>
        <x:v>4000000</x:v>
      </x:c>
      <x:c r="I31" s="34" t="n">
        <x:f>'進階假設'!$D$7*(1+'進階假設'!$D$15)^I$6</x:f>
        <x:v>4000000</x:v>
      </x:c>
      <x:c r="J31" s="34" t="n">
        <x:f>'進階假設'!$D$7*(1+'進階假設'!$D$15)^J$6</x:f>
        <x:v>4000000</x:v>
      </x:c>
      <x:c r="K31" s="34" t="n">
        <x:f>'進階假設'!$D$7*(1+'進階假設'!$D$15)^K$6</x:f>
        <x:v>4000000</x:v>
      </x:c>
      <x:c r="L31" s="34" t="n">
        <x:f>'進階假設'!$D$7*(1+'進階假設'!$D$15)^L$6</x:f>
        <x:v>4000000</x:v>
      </x:c>
      <x:c r="M31" s="34" t="n">
        <x:f>'進階假設'!$D$7*(1+'進階假設'!$D$15)^M$6</x:f>
        <x:v>4000000</x:v>
      </x:c>
    </x:row>
    <x:row r="32" ht="23" customHeight="1">
      <x:c r="A32" s="2"/>
      <x:c r="B32" s="2" t="str">
        <x:v>出售成本</x:v>
      </x:c>
      <x:c r="C32" s="2"/>
      <x:c r="D32" s="34" t="n">
        <x:f>D31*'進階假設'!$D$21+'進階假設'!$D$22</x:f>
        <x:v>55000</x:v>
      </x:c>
      <x:c r="E32" s="34" t="n">
        <x:f>E31*'進階假設'!$D$21+'進階假設'!$D$22</x:f>
        <x:v>55000</x:v>
      </x:c>
      <x:c r="F32" s="34" t="n">
        <x:f>F31*'進階假設'!$D$21+'進階假設'!$D$22</x:f>
        <x:v>55000</x:v>
      </x:c>
      <x:c r="G32" s="34" t="n">
        <x:f>G31*'進階假設'!$D$21+'進階假設'!$D$22</x:f>
        <x:v>55000</x:v>
      </x:c>
      <x:c r="H32" s="34" t="n">
        <x:f>H31*'進階假設'!$D$21+'進階假設'!$D$22</x:f>
        <x:v>55000</x:v>
      </x:c>
      <x:c r="I32" s="34" t="n">
        <x:f>I31*'進階假設'!$D$21+'進階假設'!$D$22</x:f>
        <x:v>55000</x:v>
      </x:c>
      <x:c r="J32" s="34" t="n">
        <x:f>J31*'進階假設'!$D$21+'進階假設'!$D$22</x:f>
        <x:v>55000</x:v>
      </x:c>
      <x:c r="K32" s="34" t="n">
        <x:f>K31*'進階假設'!$D$21+'進階假設'!$D$22</x:f>
        <x:v>55000</x:v>
      </x:c>
      <x:c r="L32" s="34" t="n">
        <x:f>L31*'進階假設'!$D$21+'進階假設'!$D$22</x:f>
        <x:v>55000</x:v>
      </x:c>
      <x:c r="M32" s="34" t="n">
        <x:f>M31*'進階假設'!$D$21+'進階假設'!$D$22</x:f>
        <x:v>55000</x:v>
      </x:c>
    </x:row>
    <x:row r="33" ht="23" customHeight="1">
      <x:c r="A33" s="2"/>
      <x:c r="B33" s="2" t="str">
        <x:v>出售淨回款（全現金）</x:v>
      </x:c>
      <x:c r="C33" s="2"/>
      <x:c r="D33" s="35" t="n">
        <x:f>D31-D32</x:f>
        <x:v>3945000</x:v>
      </x:c>
      <x:c r="E33" s="35" t="n">
        <x:f>E31-E32</x:f>
        <x:v>3945000</x:v>
      </x:c>
      <x:c r="F33" s="35" t="n">
        <x:f>F31-F32</x:f>
        <x:v>3945000</x:v>
      </x:c>
      <x:c r="G33" s="35" t="n">
        <x:f>G31-G32</x:f>
        <x:v>3945000</x:v>
      </x:c>
      <x:c r="H33" s="35" t="n">
        <x:f>H31-H32</x:f>
        <x:v>3945000</x:v>
      </x:c>
      <x:c r="I33" s="35" t="n">
        <x:f>I31-I32</x:f>
        <x:v>3945000</x:v>
      </x:c>
      <x:c r="J33" s="35" t="n">
        <x:f>J31-J32</x:f>
        <x:v>3945000</x:v>
      </x:c>
      <x:c r="K33" s="35" t="n">
        <x:f>K31-K32</x:f>
        <x:v>3945000</x:v>
      </x:c>
      <x:c r="L33" s="35" t="n">
        <x:f>L31-L32</x:f>
        <x:v>3945000</x:v>
      </x:c>
      <x:c r="M33" s="35" t="n">
        <x:f>M31-M32</x:f>
        <x:v>3945000</x:v>
      </x:c>
    </x:row>
    <x:row r="34" ht="23" customHeight="1">
      <x:c r="A34" s="2"/>
      <x:c r="B34" s="2" t="str">
        <x:v>清還費／退回回贈</x:v>
      </x:c>
      <x:c r="C34" s="2"/>
      <x:c r="D34" s="34" t="n">
        <x:f>IF(D26&gt;0.01,'進階假設'!$D$34,0)</x:f>
        <x:v>0</x:v>
      </x:c>
      <x:c r="E34" s="34" t="n">
        <x:f>IF(E26&gt;0.01,'進階假設'!$D$34,0)</x:f>
        <x:v>0</x:v>
      </x:c>
      <x:c r="F34" s="34" t="n">
        <x:f>IF(F26&gt;0.01,'進階假設'!$D$34,0)</x:f>
        <x:v>0</x:v>
      </x:c>
      <x:c r="G34" s="34" t="n">
        <x:f>IF(G26&gt;0.01,'進階假設'!$D$34,0)</x:f>
        <x:v>0</x:v>
      </x:c>
      <x:c r="H34" s="34" t="n">
        <x:f>IF(H26&gt;0.01,'進階假設'!$D$34,0)</x:f>
        <x:v>0</x:v>
      </x:c>
      <x:c r="I34" s="34" t="n">
        <x:f>IF(I26&gt;0.01,'進階假設'!$D$34,0)</x:f>
        <x:v>0</x:v>
      </x:c>
      <x:c r="J34" s="34" t="n">
        <x:f>IF(J26&gt;0.01,'進階假設'!$D$34,0)</x:f>
        <x:v>0</x:v>
      </x:c>
      <x:c r="K34" s="34" t="n">
        <x:f>IF(K26&gt;0.01,'進階假設'!$D$34,0)</x:f>
        <x:v>0</x:v>
      </x:c>
      <x:c r="L34" s="34" t="n">
        <x:f>IF(L26&gt;0.01,'進階假設'!$D$34,0)</x:f>
        <x:v>0</x:v>
      </x:c>
      <x:c r="M34" s="34" t="n">
        <x:f>IF(M26&gt;0.01,'進階假設'!$D$34,0)</x:f>
        <x:v>0</x:v>
      </x:c>
    </x:row>
    <x:row r="35" ht="23" customHeight="1">
      <x:c r="A35" s="2"/>
      <x:c r="B35" s="27" t="str">
        <x:v>出售淨回款（按揭）</x:v>
      </x:c>
      <x:c r="C35" s="27"/>
      <x:c r="D35" s="49" t="n">
        <x:f>D33-D26-D34</x:f>
        <x:v>1248763.8270176053</x:v>
      </x:c>
      <x:c r="E35" s="49" t="n">
        <x:f>E33-E26-E34</x:f>
        <x:v>1355683.730126914</x:v>
      </x:c>
      <x:c r="F35" s="49" t="n">
        <x:f>F33-F26-F34</x:f>
        <x:v>1465855.7044023923</x:v>
      </x:c>
      <x:c r="G35" s="49" t="n">
        <x:f>G33-G26-G34</x:f>
        <x:v>1579378.664700509</x:v>
      </x:c>
      <x:c r="H35" s="49" t="n">
        <x:f>H33-H26-H34</x:f>
        <x:v>1696354.5344677474</x:v>
      </x:c>
      <x:c r="I35" s="49" t="n">
        <x:f>I33-I26-I34</x:f>
        <x:v>1816888.3372497456</x:v>
      </x:c>
      <x:c r="J35" s="49" t="n">
        <x:f>J33-J26-J34</x:f>
        <x:v>1941088.2909837826</x:v>
      </x:c>
      <x:c r="K35" s="49" t="n">
        <x:f>K33-K26-K34</x:f>
        <x:v>2069065.9051592532</x:v>
      </x:c>
      <x:c r="L35" s="49" t="n">
        <x:f>L33-L26-L34</x:f>
        <x:v>2200936.0809333785</x:v>
      </x:c>
      <x:c r="M35" s="49" t="n">
        <x:f>M33-M26-M34</x:f>
        <x:v>2336817.214292026</x:v>
      </x:c>
    </x:row>
    <x:row r="36" ht="23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23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23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24" customHeight="1">
      <x:c r="A39" s="2"/>
      <x:c r="B39" s="10" t="str">
        <x:v>3 年退出：用於 IRR／NPV 的現金流</x:v>
      </x:c>
      <x:c r="C39" s="10"/>
      <x:c r="D39" s="21"/>
      <x:c r="E39" s="21"/>
      <x:c r="F39" s="21"/>
      <x:c r="G39" s="21"/>
      <x:c r="H39" s="21"/>
      <x:c r="I39" s="21"/>
      <x:c r="J39" s="21"/>
      <x:c r="K39" s="21"/>
      <x:c r="L39" s="21"/>
      <x:c r="M39" s="21"/>
    </x:row>
    <x:row r="40" ht="23" customHeight="1">
      <x:c r="A40" s="2"/>
      <x:c r="B40" s="2" t="str">
        <x:v>現金稅前現金流</x:v>
      </x:c>
      <x:c r="C40" s="13" t="n">
        <x:f>-'進階假設'!$D$49</x:f>
        <x:v>-4355100</x:v>
      </x:c>
      <x:c r="D40" s="35" t="n">
        <x:f>IF(D$6&gt;3,0,D20+IF(D$6=3,D33,0))</x:f>
        <x:v>105167.5</x:v>
      </x:c>
      <x:c r="E40" s="35" t="n">
        <x:f>IF(E$6&gt;3,0,E20+IF(E$6=3,E33,0))</x:f>
        <x:v>148180</x:v>
      </x:c>
      <x:c r="F40" s="35" t="n">
        <x:f>IF(F$6&gt;3,0,F20+IF(F$6=3,F33,0))</x:f>
        <x:v>4084167.5</x:v>
      </x:c>
      <x:c r="G40" s="35" t="n">
        <x:f>IF(G$6&gt;3,0,G20+IF(G$6=3,G33,0))</x:f>
        <x:v>0</x:v>
      </x:c>
      <x:c r="H40" s="35" t="n">
        <x:f>IF(H$6&gt;3,0,H20+IF(H$6=3,H33,0))</x:f>
        <x:v>0</x:v>
      </x:c>
      <x:c r="I40" s="35" t="n">
        <x:f>IF(I$6&gt;3,0,I20+IF(I$6=3,I33,0))</x:f>
        <x:v>0</x:v>
      </x:c>
      <x:c r="J40" s="35" t="n">
        <x:f>IF(J$6&gt;3,0,J20+IF(J$6=3,J33,0))</x:f>
        <x:v>0</x:v>
      </x:c>
      <x:c r="K40" s="35" t="n">
        <x:f>IF(K$6&gt;3,0,K20+IF(K$6=3,K33,0))</x:f>
        <x:v>0</x:v>
      </x:c>
      <x:c r="L40" s="35" t="n">
        <x:f>IF(L$6&gt;3,0,L20+IF(L$6=3,L33,0))</x:f>
        <x:v>0</x:v>
      </x:c>
      <x:c r="M40" s="35" t="n">
        <x:f>IF(M$6&gt;3,0,M20+IF(M$6=3,M33,0))</x:f>
        <x:v>0</x:v>
      </x:c>
    </x:row>
    <x:row r="41" ht="23" customHeight="1">
      <x:c r="A41" s="2"/>
      <x:c r="B41" s="2" t="str">
        <x:v>現金稅後現金流</x:v>
      </x:c>
      <x:c r="C41" s="13" t="n">
        <x:f>-'進階假設'!$D$49</x:f>
        <x:v>-4355100</x:v>
      </x:c>
      <x:c r="D41" s="35" t="n">
        <x:f>IF(D$6&gt;3,0,D23+IF(D$6=3,D33,0))</x:f>
        <x:v>88031.5</x:v>
      </x:c>
      <x:c r="E41" s="35" t="n">
        <x:f>IF(E$6&gt;3,0,E23+IF(E$6=3,E33,0))</x:f>
        <x:v>126964</x:v>
      </x:c>
      <x:c r="F41" s="35" t="n">
        <x:f>IF(F$6&gt;3,0,F23+IF(F$6=3,F33,0))</x:f>
        <x:v>4062951.5</x:v>
      </x:c>
      <x:c r="G41" s="35" t="n">
        <x:f>IF(G$6&gt;3,0,G23+IF(G$6=3,G33,0))</x:f>
        <x:v>0</x:v>
      </x:c>
      <x:c r="H41" s="35" t="n">
        <x:f>IF(H$6&gt;3,0,H23+IF(H$6=3,H33,0))</x:f>
        <x:v>0</x:v>
      </x:c>
      <x:c r="I41" s="35" t="n">
        <x:f>IF(I$6&gt;3,0,I23+IF(I$6=3,I33,0))</x:f>
        <x:v>0</x:v>
      </x:c>
      <x:c r="J41" s="35" t="n">
        <x:f>IF(J$6&gt;3,0,J23+IF(J$6=3,J33,0))</x:f>
        <x:v>0</x:v>
      </x:c>
      <x:c r="K41" s="35" t="n">
        <x:f>IF(K$6&gt;3,0,K23+IF(K$6=3,K33,0))</x:f>
        <x:v>0</x:v>
      </x:c>
      <x:c r="L41" s="35" t="n">
        <x:f>IF(L$6&gt;3,0,L23+IF(L$6=3,L33,0))</x:f>
        <x:v>0</x:v>
      </x:c>
      <x:c r="M41" s="35" t="n">
        <x:f>IF(M$6&gt;3,0,M23+IF(M$6=3,M33,0))</x:f>
        <x:v>0</x:v>
      </x:c>
    </x:row>
    <x:row r="42" ht="23" customHeight="1">
      <x:c r="A42" s="2"/>
      <x:c r="B42" s="2" t="str">
        <x:v>按揭稅前現金流</x:v>
      </x:c>
      <x:c r="C42" s="13" t="n">
        <x:f>-'進階假設'!$D$50</x:f>
        <x:v>-1555100</x:v>
      </x:c>
      <x:c r="D42" s="35" t="n">
        <x:f>IF(D$6&gt;3,0,D29+IF(D$6=3,D35,0))</x:f>
        <x:v>-81177.29287891445</x:v>
      </x:c>
      <x:c r="E42" s="35" t="n">
        <x:f>IF(E$6&gt;3,0,E29+IF(E$6=3,E35,0))</x:f>
        <x:v>-38164.79287891445</x:v>
      </x:c>
      <x:c r="F42" s="35" t="n">
        <x:f>IF(F$6&gt;3,0,F29+IF(F$6=3,F35,0))</x:f>
        <x:v>1418678.4115234779</x:v>
      </x:c>
      <x:c r="G42" s="35" t="n">
        <x:f>IF(G$6&gt;3,0,G29+IF(G$6=3,G35,0))</x:f>
        <x:v>0</x:v>
      </x:c>
      <x:c r="H42" s="35" t="n">
        <x:f>IF(H$6&gt;3,0,H29+IF(H$6=3,H35,0))</x:f>
        <x:v>0</x:v>
      </x:c>
      <x:c r="I42" s="35" t="n">
        <x:f>IF(I$6&gt;3,0,I29+IF(I$6=3,I35,0))</x:f>
        <x:v>0</x:v>
      </x:c>
      <x:c r="J42" s="35" t="n">
        <x:f>IF(J$6&gt;3,0,J29+IF(J$6=3,J35,0))</x:f>
        <x:v>0</x:v>
      </x:c>
      <x:c r="K42" s="35" t="n">
        <x:f>IF(K$6&gt;3,0,K29+IF(K$6=3,K35,0))</x:f>
        <x:v>0</x:v>
      </x:c>
      <x:c r="L42" s="35" t="n">
        <x:f>IF(L$6&gt;3,0,L29+IF(L$6=3,L35,0))</x:f>
        <x:v>0</x:v>
      </x:c>
      <x:c r="M42" s="35" t="n">
        <x:f>IF(M$6&gt;3,0,M29+IF(M$6=3,M35,0))</x:f>
        <x:v>0</x:v>
      </x:c>
    </x:row>
    <x:row r="43" ht="23" customHeight="1">
      <x:c r="A43" s="2"/>
      <x:c r="B43" s="2" t="str">
        <x:v>按揭稅後現金流</x:v>
      </x:c>
      <x:c r="C43" s="13" t="n">
        <x:f>-'進階假設'!$D$50</x:f>
        <x:v>-1555100</x:v>
      </x:c>
      <x:c r="D43" s="35" t="n">
        <x:f>IF(D$6&gt;3,0,D30+IF(D$6=3,D35,0))</x:f>
        <x:v>-98313.29287891445</x:v>
      </x:c>
      <x:c r="E43" s="35" t="n">
        <x:f>IF(E$6&gt;3,0,E30+IF(E$6=3,E35,0))</x:f>
        <x:v>-59380.79287891445</x:v>
      </x:c>
      <x:c r="F43" s="35" t="n">
        <x:f>IF(F$6&gt;3,0,F30+IF(F$6=3,F35,0))</x:f>
        <x:v>1397462.4115234779</x:v>
      </x:c>
      <x:c r="G43" s="35" t="n">
        <x:f>IF(G$6&gt;3,0,G30+IF(G$6=3,G35,0))</x:f>
        <x:v>0</x:v>
      </x:c>
      <x:c r="H43" s="35" t="n">
        <x:f>IF(H$6&gt;3,0,H30+IF(H$6=3,H35,0))</x:f>
        <x:v>0</x:v>
      </x:c>
      <x:c r="I43" s="35" t="n">
        <x:f>IF(I$6&gt;3,0,I30+IF(I$6=3,I35,0))</x:f>
        <x:v>0</x:v>
      </x:c>
      <x:c r="J43" s="35" t="n">
        <x:f>IF(J$6&gt;3,0,J30+IF(J$6=3,J35,0))</x:f>
        <x:v>0</x:v>
      </x:c>
      <x:c r="K43" s="35" t="n">
        <x:f>IF(K$6&gt;3,0,K30+IF(K$6=3,K35,0))</x:f>
        <x:v>0</x:v>
      </x:c>
      <x:c r="L43" s="35" t="n">
        <x:f>IF(L$6&gt;3,0,L30+IF(L$6=3,L35,0))</x:f>
        <x:v>0</x:v>
      </x:c>
      <x:c r="M43" s="35" t="n">
        <x:f>IF(M$6&gt;3,0,M30+IF(M$6=3,M35,0))</x:f>
        <x:v>0</x:v>
      </x:c>
    </x:row>
    <x:row r="44" ht="23" customHeight="1">
      <x:c r="A44" s="2"/>
      <x:c r="B44" s="2" t="str">
        <x:v>現金稅前非零現金流方向</x:v>
      </x:c>
      <x:c r="C44" s="50" t="n">
        <x:f>SIGN(C40)</x:f>
        <x:v>-1</x:v>
      </x:c>
      <x:c r="D44" s="35" t="n">
        <x:f>IF(D40=0,C44,SIGN(D40))</x:f>
        <x:v>1</x:v>
      </x:c>
      <x:c r="E44" s="35" t="n">
        <x:f>IF(E40=0,D44,SIGN(E40))</x:f>
        <x:v>1</x:v>
      </x:c>
      <x:c r="F44" s="35" t="n">
        <x:f>IF(F40=0,E44,SIGN(F40))</x:f>
        <x:v>1</x:v>
      </x:c>
      <x:c r="G44" s="35" t="n">
        <x:f>IF(G40=0,F44,SIGN(G40))</x:f>
        <x:v>1</x:v>
      </x:c>
      <x:c r="H44" s="35" t="n">
        <x:f>IF(H40=0,G44,SIGN(H40))</x:f>
        <x:v>1</x:v>
      </x:c>
      <x:c r="I44" s="35" t="n">
        <x:f>IF(I40=0,H44,SIGN(I40))</x:f>
        <x:v>1</x:v>
      </x:c>
      <x:c r="J44" s="35" t="n">
        <x:f>IF(J40=0,I44,SIGN(J40))</x:f>
        <x:v>1</x:v>
      </x:c>
      <x:c r="K44" s="35" t="n">
        <x:f>IF(K40=0,J44,SIGN(K40))</x:f>
        <x:v>1</x:v>
      </x:c>
      <x:c r="L44" s="35" t="n">
        <x:f>IF(L40=0,K44,SIGN(L40))</x:f>
        <x:v>1</x:v>
      </x:c>
      <x:c r="M44" s="35" t="n">
        <x:f>IF(M40=0,L44,SIGN(M40))</x:f>
        <x:v>1</x:v>
      </x:c>
    </x:row>
    <x:row r="45" ht="23" customHeight="1">
      <x:c r="A45" s="2"/>
      <x:c r="B45" s="2" t="str">
        <x:v>現金稅後非零現金流方向</x:v>
      </x:c>
      <x:c r="C45" s="50" t="n">
        <x:f>SIGN(C41)</x:f>
        <x:v>-1</x:v>
      </x:c>
      <x:c r="D45" s="35" t="n">
        <x:f>IF(D41=0,C45,SIGN(D41))</x:f>
        <x:v>1</x:v>
      </x:c>
      <x:c r="E45" s="35" t="n">
        <x:f>IF(E41=0,D45,SIGN(E41))</x:f>
        <x:v>1</x:v>
      </x:c>
      <x:c r="F45" s="35" t="n">
        <x:f>IF(F41=0,E45,SIGN(F41))</x:f>
        <x:v>1</x:v>
      </x:c>
      <x:c r="G45" s="35" t="n">
        <x:f>IF(G41=0,F45,SIGN(G41))</x:f>
        <x:v>1</x:v>
      </x:c>
      <x:c r="H45" s="35" t="n">
        <x:f>IF(H41=0,G45,SIGN(H41))</x:f>
        <x:v>1</x:v>
      </x:c>
      <x:c r="I45" s="35" t="n">
        <x:f>IF(I41=0,H45,SIGN(I41))</x:f>
        <x:v>1</x:v>
      </x:c>
      <x:c r="J45" s="35" t="n">
        <x:f>IF(J41=0,I45,SIGN(J41))</x:f>
        <x:v>1</x:v>
      </x:c>
      <x:c r="K45" s="35" t="n">
        <x:f>IF(K41=0,J45,SIGN(K41))</x:f>
        <x:v>1</x:v>
      </x:c>
      <x:c r="L45" s="35" t="n">
        <x:f>IF(L41=0,K45,SIGN(L41))</x:f>
        <x:v>1</x:v>
      </x:c>
      <x:c r="M45" s="35" t="n">
        <x:f>IF(M41=0,L45,SIGN(M41))</x:f>
        <x:v>1</x:v>
      </x:c>
    </x:row>
    <x:row r="46" ht="23" customHeight="1">
      <x:c r="A46" s="2"/>
      <x:c r="B46" s="2" t="str">
        <x:v>按揭稅前非零現金流方向</x:v>
      </x:c>
      <x:c r="C46" s="50" t="n">
        <x:f>SIGN(C42)</x:f>
        <x:v>-1</x:v>
      </x:c>
      <x:c r="D46" s="35" t="n">
        <x:f>IF(D42=0,C46,SIGN(D42))</x:f>
        <x:v>-1</x:v>
      </x:c>
      <x:c r="E46" s="35" t="n">
        <x:f>IF(E42=0,D46,SIGN(E42))</x:f>
        <x:v>-1</x:v>
      </x:c>
      <x:c r="F46" s="35" t="n">
        <x:f>IF(F42=0,E46,SIGN(F42))</x:f>
        <x:v>1</x:v>
      </x:c>
      <x:c r="G46" s="35" t="n">
        <x:f>IF(G42=0,F46,SIGN(G42))</x:f>
        <x:v>1</x:v>
      </x:c>
      <x:c r="H46" s="35" t="n">
        <x:f>IF(H42=0,G46,SIGN(H42))</x:f>
        <x:v>1</x:v>
      </x:c>
      <x:c r="I46" s="35" t="n">
        <x:f>IF(I42=0,H46,SIGN(I42))</x:f>
        <x:v>1</x:v>
      </x:c>
      <x:c r="J46" s="35" t="n">
        <x:f>IF(J42=0,I46,SIGN(J42))</x:f>
        <x:v>1</x:v>
      </x:c>
      <x:c r="K46" s="35" t="n">
        <x:f>IF(K42=0,J46,SIGN(K42))</x:f>
        <x:v>1</x:v>
      </x:c>
      <x:c r="L46" s="35" t="n">
        <x:f>IF(L42=0,K46,SIGN(L42))</x:f>
        <x:v>1</x:v>
      </x:c>
      <x:c r="M46" s="35" t="n">
        <x:f>IF(M42=0,L46,SIGN(M42))</x:f>
        <x:v>1</x:v>
      </x:c>
    </x:row>
    <x:row r="47" ht="23" customHeight="1">
      <x:c r="A47" s="2"/>
      <x:c r="B47" s="2" t="str">
        <x:v>按揭稅後非零現金流方向</x:v>
      </x:c>
      <x:c r="C47" s="50" t="n">
        <x:f>SIGN(C43)</x:f>
        <x:v>-1</x:v>
      </x:c>
      <x:c r="D47" s="35" t="n">
        <x:f>IF(D43=0,C47,SIGN(D43))</x:f>
        <x:v>-1</x:v>
      </x:c>
      <x:c r="E47" s="35" t="n">
        <x:f>IF(E43=0,D47,SIGN(E43))</x:f>
        <x:v>-1</x:v>
      </x:c>
      <x:c r="F47" s="35" t="n">
        <x:f>IF(F43=0,E47,SIGN(F43))</x:f>
        <x:v>1</x:v>
      </x:c>
      <x:c r="G47" s="35" t="n">
        <x:f>IF(G43=0,F47,SIGN(G43))</x:f>
        <x:v>1</x:v>
      </x:c>
      <x:c r="H47" s="35" t="n">
        <x:f>IF(H43=0,G47,SIGN(H43))</x:f>
        <x:v>1</x:v>
      </x:c>
      <x:c r="I47" s="35" t="n">
        <x:f>IF(I43=0,H47,SIGN(I43))</x:f>
        <x:v>1</x:v>
      </x:c>
      <x:c r="J47" s="35" t="n">
        <x:f>IF(J43=0,I47,SIGN(J43))</x:f>
        <x:v>1</x:v>
      </x:c>
      <x:c r="K47" s="35" t="n">
        <x:f>IF(K43=0,J47,SIGN(K43))</x:f>
        <x:v>1</x:v>
      </x:c>
      <x:c r="L47" s="35" t="n">
        <x:f>IF(L43=0,K47,SIGN(L43))</x:f>
        <x:v>1</x:v>
      </x:c>
      <x:c r="M47" s="35" t="n">
        <x:f>IF(M43=0,L47,SIGN(M43))</x:f>
        <x:v>1</x:v>
      </x:c>
    </x:row>
    <x:row r="48" ht="23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3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  <x:row r="50" ht="23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  <x:c r="L50" s="3"/>
      <x:c r="M50" s="3"/>
    </x:row>
    <x:row r="51" ht="23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24" customHeight="1">
      <x:c r="A52" s="2"/>
      <x:c r="B52" s="10" t="str">
        <x:v>5 年退出：用於 IRR／NPV 的現金流</x:v>
      </x:c>
      <x:c r="C52" s="10"/>
      <x:c r="D52" s="21"/>
      <x:c r="E52" s="21"/>
      <x:c r="F52" s="21"/>
      <x:c r="G52" s="21"/>
      <x:c r="H52" s="21"/>
      <x:c r="I52" s="21"/>
      <x:c r="J52" s="21"/>
      <x:c r="K52" s="21"/>
      <x:c r="L52" s="21"/>
      <x:c r="M52" s="21"/>
    </x:row>
    <x:row r="53" ht="23" customHeight="1">
      <x:c r="A53" s="2"/>
      <x:c r="B53" s="2" t="str">
        <x:v>現金稅前現金流</x:v>
      </x:c>
      <x:c r="C53" s="13" t="n">
        <x:f>-'進階假設'!$D$49</x:f>
        <x:v>-4355100</x:v>
      </x:c>
      <x:c r="D53" s="35" t="n">
        <x:f>IF(D$6&gt;5,0,D20+IF(D$6=5,D33,0))</x:f>
        <x:v>105167.5</x:v>
      </x:c>
      <x:c r="E53" s="35" t="n">
        <x:f>IF(E$6&gt;5,0,E20+IF(E$6=5,E33,0))</x:f>
        <x:v>148180</x:v>
      </x:c>
      <x:c r="F53" s="35" t="n">
        <x:f>IF(F$6&gt;5,0,F20+IF(F$6=5,F33,0))</x:f>
        <x:v>139167.5</x:v>
      </x:c>
      <x:c r="G53" s="35" t="n">
        <x:f>IF(G$6&gt;5,0,G20+IF(G$6=5,G33,0))</x:f>
        <x:v>148180</x:v>
      </x:c>
      <x:c r="H53" s="35" t="n">
        <x:f>IF(H$6&gt;5,0,H20+IF(H$6=5,H33,0))</x:f>
        <x:v>4084167.5</x:v>
      </x:c>
      <x:c r="I53" s="35" t="n">
        <x:f>IF(I$6&gt;5,0,I20+IF(I$6=5,I33,0))</x:f>
        <x:v>0</x:v>
      </x:c>
      <x:c r="J53" s="35" t="n">
        <x:f>IF(J$6&gt;5,0,J20+IF(J$6=5,J33,0))</x:f>
        <x:v>0</x:v>
      </x:c>
      <x:c r="K53" s="35" t="n">
        <x:f>IF(K$6&gt;5,0,K20+IF(K$6=5,K33,0))</x:f>
        <x:v>0</x:v>
      </x:c>
      <x:c r="L53" s="35" t="n">
        <x:f>IF(L$6&gt;5,0,L20+IF(L$6=5,L33,0))</x:f>
        <x:v>0</x:v>
      </x:c>
      <x:c r="M53" s="35" t="n">
        <x:f>IF(M$6&gt;5,0,M20+IF(M$6=5,M33,0))</x:f>
        <x:v>0</x:v>
      </x:c>
    </x:row>
    <x:row r="54" ht="23" customHeight="1">
      <x:c r="A54" s="2"/>
      <x:c r="B54" s="2" t="str">
        <x:v>現金稅後現金流</x:v>
      </x:c>
      <x:c r="C54" s="13" t="n">
        <x:f>-'進階假設'!$D$49</x:f>
        <x:v>-4355100</x:v>
      </x:c>
      <x:c r="D54" s="35" t="n">
        <x:f>IF(D$6&gt;5,0,D23+IF(D$6=5,D33,0))</x:f>
        <x:v>88031.5</x:v>
      </x:c>
      <x:c r="E54" s="35" t="n">
        <x:f>IF(E$6&gt;5,0,E23+IF(E$6=5,E33,0))</x:f>
        <x:v>126964</x:v>
      </x:c>
      <x:c r="F54" s="35" t="n">
        <x:f>IF(F$6&gt;5,0,F23+IF(F$6=5,F33,0))</x:f>
        <x:v>117951.5</x:v>
      </x:c>
      <x:c r="G54" s="35" t="n">
        <x:f>IF(G$6&gt;5,0,G23+IF(G$6=5,G33,0))</x:f>
        <x:v>126964</x:v>
      </x:c>
      <x:c r="H54" s="35" t="n">
        <x:f>IF(H$6&gt;5,0,H23+IF(H$6=5,H33,0))</x:f>
        <x:v>4062951.5</x:v>
      </x:c>
      <x:c r="I54" s="35" t="n">
        <x:f>IF(I$6&gt;5,0,I23+IF(I$6=5,I33,0))</x:f>
        <x:v>0</x:v>
      </x:c>
      <x:c r="J54" s="35" t="n">
        <x:f>IF(J$6&gt;5,0,J23+IF(J$6=5,J33,0))</x:f>
        <x:v>0</x:v>
      </x:c>
      <x:c r="K54" s="35" t="n">
        <x:f>IF(K$6&gt;5,0,K23+IF(K$6=5,K33,0))</x:f>
        <x:v>0</x:v>
      </x:c>
      <x:c r="L54" s="35" t="n">
        <x:f>IF(L$6&gt;5,0,L23+IF(L$6=5,L33,0))</x:f>
        <x:v>0</x:v>
      </x:c>
      <x:c r="M54" s="35" t="n">
        <x:f>IF(M$6&gt;5,0,M23+IF(M$6=5,M33,0))</x:f>
        <x:v>0</x:v>
      </x:c>
    </x:row>
    <x:row r="55" ht="23" customHeight="1">
      <x:c r="A55" s="2"/>
      <x:c r="B55" s="2" t="str">
        <x:v>按揭稅前現金流</x:v>
      </x:c>
      <x:c r="C55" s="13" t="n">
        <x:f>-'進階假設'!$D$50</x:f>
        <x:v>-1555100</x:v>
      </x:c>
      <x:c r="D55" s="35" t="n">
        <x:f>IF(D$6&gt;5,0,D29+IF(D$6=5,D35,0))</x:f>
        <x:v>-81177.29287891445</x:v>
      </x:c>
      <x:c r="E55" s="35" t="n">
        <x:f>IF(E$6&gt;5,0,E29+IF(E$6=5,E35,0))</x:f>
        <x:v>-38164.79287891445</x:v>
      </x:c>
      <x:c r="F55" s="35" t="n">
        <x:f>IF(F$6&gt;5,0,F29+IF(F$6=5,F35,0))</x:f>
        <x:v>-47177.29287891445</x:v>
      </x:c>
      <x:c r="G55" s="35" t="n">
        <x:f>IF(G$6&gt;5,0,G29+IF(G$6=5,G35,0))</x:f>
        <x:v>-38164.79287891445</x:v>
      </x:c>
      <x:c r="H55" s="35" t="n">
        <x:f>IF(H$6&gt;5,0,H29+IF(H$6=5,H35,0))</x:f>
        <x:v>1649177.241588833</x:v>
      </x:c>
      <x:c r="I55" s="35" t="n">
        <x:f>IF(I$6&gt;5,0,I29+IF(I$6=5,I35,0))</x:f>
        <x:v>0</x:v>
      </x:c>
      <x:c r="J55" s="35" t="n">
        <x:f>IF(J$6&gt;5,0,J29+IF(J$6=5,J35,0))</x:f>
        <x:v>0</x:v>
      </x:c>
      <x:c r="K55" s="35" t="n">
        <x:f>IF(K$6&gt;5,0,K29+IF(K$6=5,K35,0))</x:f>
        <x:v>0</x:v>
      </x:c>
      <x:c r="L55" s="35" t="n">
        <x:f>IF(L$6&gt;5,0,L29+IF(L$6=5,L35,0))</x:f>
        <x:v>0</x:v>
      </x:c>
      <x:c r="M55" s="35" t="n">
        <x:f>IF(M$6&gt;5,0,M29+IF(M$6=5,M35,0))</x:f>
        <x:v>0</x:v>
      </x:c>
    </x:row>
    <x:row r="56" ht="23" customHeight="1">
      <x:c r="A56" s="2"/>
      <x:c r="B56" s="2" t="str">
        <x:v>按揭稅後現金流</x:v>
      </x:c>
      <x:c r="C56" s="13" t="n">
        <x:f>-'進階假設'!$D$50</x:f>
        <x:v>-1555100</x:v>
      </x:c>
      <x:c r="D56" s="35" t="n">
        <x:f>IF(D$6&gt;5,0,D30+IF(D$6=5,D35,0))</x:f>
        <x:v>-98313.29287891445</x:v>
      </x:c>
      <x:c r="E56" s="35" t="n">
        <x:f>IF(E$6&gt;5,0,E30+IF(E$6=5,E35,0))</x:f>
        <x:v>-59380.79287891445</x:v>
      </x:c>
      <x:c r="F56" s="35" t="n">
        <x:f>IF(F$6&gt;5,0,F30+IF(F$6=5,F35,0))</x:f>
        <x:v>-68393.29287891445</x:v>
      </x:c>
      <x:c r="G56" s="35" t="n">
        <x:f>IF(G$6&gt;5,0,G30+IF(G$6=5,G35,0))</x:f>
        <x:v>-59380.79287891445</x:v>
      </x:c>
      <x:c r="H56" s="35" t="n">
        <x:f>IF(H$6&gt;5,0,H30+IF(H$6=5,H35,0))</x:f>
        <x:v>1627961.241588833</x:v>
      </x:c>
      <x:c r="I56" s="35" t="n">
        <x:f>IF(I$6&gt;5,0,I30+IF(I$6=5,I35,0))</x:f>
        <x:v>0</x:v>
      </x:c>
      <x:c r="J56" s="35" t="n">
        <x:f>IF(J$6&gt;5,0,J30+IF(J$6=5,J35,0))</x:f>
        <x:v>0</x:v>
      </x:c>
      <x:c r="K56" s="35" t="n">
        <x:f>IF(K$6&gt;5,0,K30+IF(K$6=5,K35,0))</x:f>
        <x:v>0</x:v>
      </x:c>
      <x:c r="L56" s="35" t="n">
        <x:f>IF(L$6&gt;5,0,L30+IF(L$6=5,L35,0))</x:f>
        <x:v>0</x:v>
      </x:c>
      <x:c r="M56" s="35" t="n">
        <x:f>IF(M$6&gt;5,0,M30+IF(M$6=5,M35,0))</x:f>
        <x:v>0</x:v>
      </x:c>
    </x:row>
    <x:row r="57" ht="23" customHeight="1">
      <x:c r="A57" s="2"/>
      <x:c r="B57" s="2" t="str">
        <x:v>現金稅前非零現金流方向</x:v>
      </x:c>
      <x:c r="C57" s="50" t="n">
        <x:f>SIGN(C53)</x:f>
        <x:v>-1</x:v>
      </x:c>
      <x:c r="D57" s="35" t="n">
        <x:f>IF(D53=0,C57,SIGN(D53))</x:f>
        <x:v>1</x:v>
      </x:c>
      <x:c r="E57" s="35" t="n">
        <x:f>IF(E53=0,D57,SIGN(E53))</x:f>
        <x:v>1</x:v>
      </x:c>
      <x:c r="F57" s="35" t="n">
        <x:f>IF(F53=0,E57,SIGN(F53))</x:f>
        <x:v>1</x:v>
      </x:c>
      <x:c r="G57" s="35" t="n">
        <x:f>IF(G53=0,F57,SIGN(G53))</x:f>
        <x:v>1</x:v>
      </x:c>
      <x:c r="H57" s="35" t="n">
        <x:f>IF(H53=0,G57,SIGN(H53))</x:f>
        <x:v>1</x:v>
      </x:c>
      <x:c r="I57" s="35" t="n">
        <x:f>IF(I53=0,H57,SIGN(I53))</x:f>
        <x:v>1</x:v>
      </x:c>
      <x:c r="J57" s="35" t="n">
        <x:f>IF(J53=0,I57,SIGN(J53))</x:f>
        <x:v>1</x:v>
      </x:c>
      <x:c r="K57" s="35" t="n">
        <x:f>IF(K53=0,J57,SIGN(K53))</x:f>
        <x:v>1</x:v>
      </x:c>
      <x:c r="L57" s="35" t="n">
        <x:f>IF(L53=0,K57,SIGN(L53))</x:f>
        <x:v>1</x:v>
      </x:c>
      <x:c r="M57" s="35" t="n">
        <x:f>IF(M53=0,L57,SIGN(M53))</x:f>
        <x:v>1</x:v>
      </x:c>
    </x:row>
    <x:row r="58" ht="23" customHeight="1">
      <x:c r="A58" s="2"/>
      <x:c r="B58" s="2" t="str">
        <x:v>現金稅後非零現金流方向</x:v>
      </x:c>
      <x:c r="C58" s="50" t="n">
        <x:f>SIGN(C54)</x:f>
        <x:v>-1</x:v>
      </x:c>
      <x:c r="D58" s="35" t="n">
        <x:f>IF(D54=0,C58,SIGN(D54))</x:f>
        <x:v>1</x:v>
      </x:c>
      <x:c r="E58" s="35" t="n">
        <x:f>IF(E54=0,D58,SIGN(E54))</x:f>
        <x:v>1</x:v>
      </x:c>
      <x:c r="F58" s="35" t="n">
        <x:f>IF(F54=0,E58,SIGN(F54))</x:f>
        <x:v>1</x:v>
      </x:c>
      <x:c r="G58" s="35" t="n">
        <x:f>IF(G54=0,F58,SIGN(G54))</x:f>
        <x:v>1</x:v>
      </x:c>
      <x:c r="H58" s="35" t="n">
        <x:f>IF(H54=0,G58,SIGN(H54))</x:f>
        <x:v>1</x:v>
      </x:c>
      <x:c r="I58" s="35" t="n">
        <x:f>IF(I54=0,H58,SIGN(I54))</x:f>
        <x:v>1</x:v>
      </x:c>
      <x:c r="J58" s="35" t="n">
        <x:f>IF(J54=0,I58,SIGN(J54))</x:f>
        <x:v>1</x:v>
      </x:c>
      <x:c r="K58" s="35" t="n">
        <x:f>IF(K54=0,J58,SIGN(K54))</x:f>
        <x:v>1</x:v>
      </x:c>
      <x:c r="L58" s="35" t="n">
        <x:f>IF(L54=0,K58,SIGN(L54))</x:f>
        <x:v>1</x:v>
      </x:c>
      <x:c r="M58" s="35" t="n">
        <x:f>IF(M54=0,L58,SIGN(M54))</x:f>
        <x:v>1</x:v>
      </x:c>
    </x:row>
    <x:row r="59" ht="23" customHeight="1">
      <x:c r="A59" s="2"/>
      <x:c r="B59" s="2" t="str">
        <x:v>按揭稅前非零現金流方向</x:v>
      </x:c>
      <x:c r="C59" s="50" t="n">
        <x:f>SIGN(C55)</x:f>
        <x:v>-1</x:v>
      </x:c>
      <x:c r="D59" s="35" t="n">
        <x:f>IF(D55=0,C59,SIGN(D55))</x:f>
        <x:v>-1</x:v>
      </x:c>
      <x:c r="E59" s="35" t="n">
        <x:f>IF(E55=0,D59,SIGN(E55))</x:f>
        <x:v>-1</x:v>
      </x:c>
      <x:c r="F59" s="35" t="n">
        <x:f>IF(F55=0,E59,SIGN(F55))</x:f>
        <x:v>-1</x:v>
      </x:c>
      <x:c r="G59" s="35" t="n">
        <x:f>IF(G55=0,F59,SIGN(G55))</x:f>
        <x:v>-1</x:v>
      </x:c>
      <x:c r="H59" s="35" t="n">
        <x:f>IF(H55=0,G59,SIGN(H55))</x:f>
        <x:v>1</x:v>
      </x:c>
      <x:c r="I59" s="35" t="n">
        <x:f>IF(I55=0,H59,SIGN(I55))</x:f>
        <x:v>1</x:v>
      </x:c>
      <x:c r="J59" s="35" t="n">
        <x:f>IF(J55=0,I59,SIGN(J55))</x:f>
        <x:v>1</x:v>
      </x:c>
      <x:c r="K59" s="35" t="n">
        <x:f>IF(K55=0,J59,SIGN(K55))</x:f>
        <x:v>1</x:v>
      </x:c>
      <x:c r="L59" s="35" t="n">
        <x:f>IF(L55=0,K59,SIGN(L55))</x:f>
        <x:v>1</x:v>
      </x:c>
      <x:c r="M59" s="35" t="n">
        <x:f>IF(M55=0,L59,SIGN(M55))</x:f>
        <x:v>1</x:v>
      </x:c>
    </x:row>
    <x:row r="60" ht="23" customHeight="1">
      <x:c r="A60" s="2"/>
      <x:c r="B60" s="2" t="str">
        <x:v>按揭稅後非零現金流方向</x:v>
      </x:c>
      <x:c r="C60" s="50" t="n">
        <x:f>SIGN(C56)</x:f>
        <x:v>-1</x:v>
      </x:c>
      <x:c r="D60" s="35" t="n">
        <x:f>IF(D56=0,C60,SIGN(D56))</x:f>
        <x:v>-1</x:v>
      </x:c>
      <x:c r="E60" s="35" t="n">
        <x:f>IF(E56=0,D60,SIGN(E56))</x:f>
        <x:v>-1</x:v>
      </x:c>
      <x:c r="F60" s="35" t="n">
        <x:f>IF(F56=0,E60,SIGN(F56))</x:f>
        <x:v>-1</x:v>
      </x:c>
      <x:c r="G60" s="35" t="n">
        <x:f>IF(G56=0,F60,SIGN(G56))</x:f>
        <x:v>-1</x:v>
      </x:c>
      <x:c r="H60" s="35" t="n">
        <x:f>IF(H56=0,G60,SIGN(H56))</x:f>
        <x:v>1</x:v>
      </x:c>
      <x:c r="I60" s="35" t="n">
        <x:f>IF(I56=0,H60,SIGN(I56))</x:f>
        <x:v>1</x:v>
      </x:c>
      <x:c r="J60" s="35" t="n">
        <x:f>IF(J56=0,I60,SIGN(J56))</x:f>
        <x:v>1</x:v>
      </x:c>
      <x:c r="K60" s="35" t="n">
        <x:f>IF(K56=0,J60,SIGN(K56))</x:f>
        <x:v>1</x:v>
      </x:c>
      <x:c r="L60" s="35" t="n">
        <x:f>IF(L56=0,K60,SIGN(L56))</x:f>
        <x:v>1</x:v>
      </x:c>
      <x:c r="M60" s="35" t="n">
        <x:f>IF(M56=0,L60,SIGN(M56))</x:f>
        <x:v>1</x:v>
      </x:c>
    </x:row>
    <x:row r="61" ht="23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23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23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23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24" customHeight="1">
      <x:c r="A65" s="2"/>
      <x:c r="B65" s="10" t="str">
        <x:v>10 年退出：用於 IRR／NPV 的現金流</x:v>
      </x:c>
      <x:c r="C65" s="10"/>
      <x:c r="D65" s="21"/>
      <x:c r="E65" s="21"/>
      <x:c r="F65" s="21"/>
      <x:c r="G65" s="21"/>
      <x:c r="H65" s="21"/>
      <x:c r="I65" s="21"/>
      <x:c r="J65" s="21"/>
      <x:c r="K65" s="21"/>
      <x:c r="L65" s="21"/>
      <x:c r="M65" s="21"/>
    </x:row>
    <x:row r="66" ht="23" customHeight="1">
      <x:c r="A66" s="2"/>
      <x:c r="B66" s="2" t="str">
        <x:v>現金稅前現金流</x:v>
      </x:c>
      <x:c r="C66" s="13" t="n">
        <x:f>-'進階假設'!$D$49</x:f>
        <x:v>-4355100</x:v>
      </x:c>
      <x:c r="D66" s="35" t="n">
        <x:f>IF(D$6&gt;10,0,D20+IF(D$6=10,D33,0))</x:f>
        <x:v>105167.5</x:v>
      </x:c>
      <x:c r="E66" s="35" t="n">
        <x:f>IF(E$6&gt;10,0,E20+IF(E$6=10,E33,0))</x:f>
        <x:v>148180</x:v>
      </x:c>
      <x:c r="F66" s="35" t="n">
        <x:f>IF(F$6&gt;10,0,F20+IF(F$6=10,F33,0))</x:f>
        <x:v>139167.5</x:v>
      </x:c>
      <x:c r="G66" s="35" t="n">
        <x:f>IF(G$6&gt;10,0,G20+IF(G$6=10,G33,0))</x:f>
        <x:v>148180</x:v>
      </x:c>
      <x:c r="H66" s="35" t="n">
        <x:f>IF(H$6&gt;10,0,H20+IF(H$6=10,H33,0))</x:f>
        <x:v>139167.5</x:v>
      </x:c>
      <x:c r="I66" s="35" t="n">
        <x:f>IF(I$6&gt;10,0,I20+IF(I$6=10,I33,0))</x:f>
        <x:v>148180</x:v>
      </x:c>
      <x:c r="J66" s="35" t="n">
        <x:f>IF(J$6&gt;10,0,J20+IF(J$6=10,J33,0))</x:f>
        <x:v>139167.5</x:v>
      </x:c>
      <x:c r="K66" s="35" t="n">
        <x:f>IF(K$6&gt;10,0,K20+IF(K$6=10,K33,0))</x:f>
        <x:v>148180</x:v>
      </x:c>
      <x:c r="L66" s="35" t="n">
        <x:f>IF(L$6&gt;10,0,L20+IF(L$6=10,L33,0))</x:f>
        <x:v>139167.5</x:v>
      </x:c>
      <x:c r="M66" s="35" t="n">
        <x:f>IF(M$6&gt;10,0,M20+IF(M$6=10,M33,0))</x:f>
        <x:v>4093180</x:v>
      </x:c>
    </x:row>
    <x:row r="67" ht="23" customHeight="1">
      <x:c r="A67" s="2"/>
      <x:c r="B67" s="2" t="str">
        <x:v>現金稅後現金流</x:v>
      </x:c>
      <x:c r="C67" s="13" t="n">
        <x:f>-'進階假設'!$D$49</x:f>
        <x:v>-4355100</x:v>
      </x:c>
      <x:c r="D67" s="35" t="n">
        <x:f>IF(D$6&gt;10,0,D23+IF(D$6=10,D33,0))</x:f>
        <x:v>88031.5</x:v>
      </x:c>
      <x:c r="E67" s="35" t="n">
        <x:f>IF(E$6&gt;10,0,E23+IF(E$6=10,E33,0))</x:f>
        <x:v>126964</x:v>
      </x:c>
      <x:c r="F67" s="35" t="n">
        <x:f>IF(F$6&gt;10,0,F23+IF(F$6=10,F33,0))</x:f>
        <x:v>117951.5</x:v>
      </x:c>
      <x:c r="G67" s="35" t="n">
        <x:f>IF(G$6&gt;10,0,G23+IF(G$6=10,G33,0))</x:f>
        <x:v>126964</x:v>
      </x:c>
      <x:c r="H67" s="35" t="n">
        <x:f>IF(H$6&gt;10,0,H23+IF(H$6=10,H33,0))</x:f>
        <x:v>117951.5</x:v>
      </x:c>
      <x:c r="I67" s="35" t="n">
        <x:f>IF(I$6&gt;10,0,I23+IF(I$6=10,I33,0))</x:f>
        <x:v>126964</x:v>
      </x:c>
      <x:c r="J67" s="35" t="n">
        <x:f>IF(J$6&gt;10,0,J23+IF(J$6=10,J33,0))</x:f>
        <x:v>117951.5</x:v>
      </x:c>
      <x:c r="K67" s="35" t="n">
        <x:f>IF(K$6&gt;10,0,K23+IF(K$6=10,K33,0))</x:f>
        <x:v>126964</x:v>
      </x:c>
      <x:c r="L67" s="35" t="n">
        <x:f>IF(L$6&gt;10,0,L23+IF(L$6=10,L33,0))</x:f>
        <x:v>117951.5</x:v>
      </x:c>
      <x:c r="M67" s="35" t="n">
        <x:f>IF(M$6&gt;10,0,M23+IF(M$6=10,M33,0))</x:f>
        <x:v>4071964</x:v>
      </x:c>
    </x:row>
    <x:row r="68" ht="23" customHeight="1">
      <x:c r="A68" s="2"/>
      <x:c r="B68" s="2" t="str">
        <x:v>按揭稅前現金流</x:v>
      </x:c>
      <x:c r="C68" s="13" t="n">
        <x:f>-'進階假設'!$D$50</x:f>
        <x:v>-1555100</x:v>
      </x:c>
      <x:c r="D68" s="35" t="n">
        <x:f>IF(D$6&gt;10,0,D29+IF(D$6=10,D35,0))</x:f>
        <x:v>-81177.29287891445</x:v>
      </x:c>
      <x:c r="E68" s="35" t="n">
        <x:f>IF(E$6&gt;10,0,E29+IF(E$6=10,E35,0))</x:f>
        <x:v>-38164.79287891445</x:v>
      </x:c>
      <x:c r="F68" s="35" t="n">
        <x:f>IF(F$6&gt;10,0,F29+IF(F$6=10,F35,0))</x:f>
        <x:v>-47177.29287891445</x:v>
      </x:c>
      <x:c r="G68" s="35" t="n">
        <x:f>IF(G$6&gt;10,0,G29+IF(G$6=10,G35,0))</x:f>
        <x:v>-38164.79287891445</x:v>
      </x:c>
      <x:c r="H68" s="35" t="n">
        <x:f>IF(H$6&gt;10,0,H29+IF(H$6=10,H35,0))</x:f>
        <x:v>-47177.29287891445</x:v>
      </x:c>
      <x:c r="I68" s="35" t="n">
        <x:f>IF(I$6&gt;10,0,I29+IF(I$6=10,I35,0))</x:f>
        <x:v>-38164.79287891445</x:v>
      </x:c>
      <x:c r="J68" s="35" t="n">
        <x:f>IF(J$6&gt;10,0,J29+IF(J$6=10,J35,0))</x:f>
        <x:v>-47177.29287891445</x:v>
      </x:c>
      <x:c r="K68" s="35" t="n">
        <x:f>IF(K$6&gt;10,0,K29+IF(K$6=10,K35,0))</x:f>
        <x:v>-38164.79287891445</x:v>
      </x:c>
      <x:c r="L68" s="35" t="n">
        <x:f>IF(L$6&gt;10,0,L29+IF(L$6=10,L35,0))</x:f>
        <x:v>-47177.29287891445</x:v>
      </x:c>
      <x:c r="M68" s="35" t="n">
        <x:f>IF(M$6&gt;10,0,M29+IF(M$6=10,M35,0))</x:f>
        <x:v>2298652.4214131115</x:v>
      </x:c>
    </x:row>
    <x:row r="69" ht="23" customHeight="1">
      <x:c r="A69" s="2"/>
      <x:c r="B69" s="2" t="str">
        <x:v>按揭稅後現金流</x:v>
      </x:c>
      <x:c r="C69" s="13" t="n">
        <x:f>-'進階假設'!$D$50</x:f>
        <x:v>-1555100</x:v>
      </x:c>
      <x:c r="D69" s="35" t="n">
        <x:f>IF(D$6&gt;10,0,D30+IF(D$6=10,D35,0))</x:f>
        <x:v>-98313.29287891445</x:v>
      </x:c>
      <x:c r="E69" s="35" t="n">
        <x:f>IF(E$6&gt;10,0,E30+IF(E$6=10,E35,0))</x:f>
        <x:v>-59380.79287891445</x:v>
      </x:c>
      <x:c r="F69" s="35" t="n">
        <x:f>IF(F$6&gt;10,0,F30+IF(F$6=10,F35,0))</x:f>
        <x:v>-68393.29287891445</x:v>
      </x:c>
      <x:c r="G69" s="35" t="n">
        <x:f>IF(G$6&gt;10,0,G30+IF(G$6=10,G35,0))</x:f>
        <x:v>-59380.79287891445</x:v>
      </x:c>
      <x:c r="H69" s="35" t="n">
        <x:f>IF(H$6&gt;10,0,H30+IF(H$6=10,H35,0))</x:f>
        <x:v>-68393.29287891445</x:v>
      </x:c>
      <x:c r="I69" s="35" t="n">
        <x:f>IF(I$6&gt;10,0,I30+IF(I$6=10,I35,0))</x:f>
        <x:v>-59380.79287891445</x:v>
      </x:c>
      <x:c r="J69" s="35" t="n">
        <x:f>IF(J$6&gt;10,0,J30+IF(J$6=10,J35,0))</x:f>
        <x:v>-68393.29287891445</x:v>
      </x:c>
      <x:c r="K69" s="35" t="n">
        <x:f>IF(K$6&gt;10,0,K30+IF(K$6=10,K35,0))</x:f>
        <x:v>-59380.79287891445</x:v>
      </x:c>
      <x:c r="L69" s="35" t="n">
        <x:f>IF(L$6&gt;10,0,L30+IF(L$6=10,L35,0))</x:f>
        <x:v>-68393.29287891445</x:v>
      </x:c>
      <x:c r="M69" s="35" t="n">
        <x:f>IF(M$6&gt;10,0,M30+IF(M$6=10,M35,0))</x:f>
        <x:v>2277436.4214131115</x:v>
      </x:c>
    </x:row>
    <x:row r="70" ht="23" customHeight="1">
      <x:c r="A70" s="2"/>
      <x:c r="B70" s="2" t="str">
        <x:v>現金稅前非零現金流方向</x:v>
      </x:c>
      <x:c r="C70" s="50" t="n">
        <x:f>SIGN(C66)</x:f>
        <x:v>-1</x:v>
      </x:c>
      <x:c r="D70" s="35" t="n">
        <x:f>IF(D66=0,C70,SIGN(D66))</x:f>
        <x:v>1</x:v>
      </x:c>
      <x:c r="E70" s="35" t="n">
        <x:f>IF(E66=0,D70,SIGN(E66))</x:f>
        <x:v>1</x:v>
      </x:c>
      <x:c r="F70" s="35" t="n">
        <x:f>IF(F66=0,E70,SIGN(F66))</x:f>
        <x:v>1</x:v>
      </x:c>
      <x:c r="G70" s="35" t="n">
        <x:f>IF(G66=0,F70,SIGN(G66))</x:f>
        <x:v>1</x:v>
      </x:c>
      <x:c r="H70" s="35" t="n">
        <x:f>IF(H66=0,G70,SIGN(H66))</x:f>
        <x:v>1</x:v>
      </x:c>
      <x:c r="I70" s="35" t="n">
        <x:f>IF(I66=0,H70,SIGN(I66))</x:f>
        <x:v>1</x:v>
      </x:c>
      <x:c r="J70" s="35" t="n">
        <x:f>IF(J66=0,I70,SIGN(J66))</x:f>
        <x:v>1</x:v>
      </x:c>
      <x:c r="K70" s="35" t="n">
        <x:f>IF(K66=0,J70,SIGN(K66))</x:f>
        <x:v>1</x:v>
      </x:c>
      <x:c r="L70" s="35" t="n">
        <x:f>IF(L66=0,K70,SIGN(L66))</x:f>
        <x:v>1</x:v>
      </x:c>
      <x:c r="M70" s="35" t="n">
        <x:f>IF(M66=0,L70,SIGN(M66))</x:f>
        <x:v>1</x:v>
      </x:c>
    </x:row>
    <x:row r="71" ht="23" customHeight="1">
      <x:c r="A71" s="2"/>
      <x:c r="B71" s="2" t="str">
        <x:v>現金稅後非零現金流方向</x:v>
      </x:c>
      <x:c r="C71" s="50" t="n">
        <x:f>SIGN(C67)</x:f>
        <x:v>-1</x:v>
      </x:c>
      <x:c r="D71" s="35" t="n">
        <x:f>IF(D67=0,C71,SIGN(D67))</x:f>
        <x:v>1</x:v>
      </x:c>
      <x:c r="E71" s="35" t="n">
        <x:f>IF(E67=0,D71,SIGN(E67))</x:f>
        <x:v>1</x:v>
      </x:c>
      <x:c r="F71" s="35" t="n">
        <x:f>IF(F67=0,E71,SIGN(F67))</x:f>
        <x:v>1</x:v>
      </x:c>
      <x:c r="G71" s="35" t="n">
        <x:f>IF(G67=0,F71,SIGN(G67))</x:f>
        <x:v>1</x:v>
      </x:c>
      <x:c r="H71" s="35" t="n">
        <x:f>IF(H67=0,G71,SIGN(H67))</x:f>
        <x:v>1</x:v>
      </x:c>
      <x:c r="I71" s="35" t="n">
        <x:f>IF(I67=0,H71,SIGN(I67))</x:f>
        <x:v>1</x:v>
      </x:c>
      <x:c r="J71" s="35" t="n">
        <x:f>IF(J67=0,I71,SIGN(J67))</x:f>
        <x:v>1</x:v>
      </x:c>
      <x:c r="K71" s="35" t="n">
        <x:f>IF(K67=0,J71,SIGN(K67))</x:f>
        <x:v>1</x:v>
      </x:c>
      <x:c r="L71" s="35" t="n">
        <x:f>IF(L67=0,K71,SIGN(L67))</x:f>
        <x:v>1</x:v>
      </x:c>
      <x:c r="M71" s="35" t="n">
        <x:f>IF(M67=0,L71,SIGN(M67))</x:f>
        <x:v>1</x:v>
      </x:c>
    </x:row>
    <x:row r="72" ht="23" customHeight="1">
      <x:c r="A72" s="2"/>
      <x:c r="B72" s="2" t="str">
        <x:v>按揭稅前非零現金流方向</x:v>
      </x:c>
      <x:c r="C72" s="50" t="n">
        <x:f>SIGN(C68)</x:f>
        <x:v>-1</x:v>
      </x:c>
      <x:c r="D72" s="35" t="n">
        <x:f>IF(D68=0,C72,SIGN(D68))</x:f>
        <x:v>-1</x:v>
      </x:c>
      <x:c r="E72" s="35" t="n">
        <x:f>IF(E68=0,D72,SIGN(E68))</x:f>
        <x:v>-1</x:v>
      </x:c>
      <x:c r="F72" s="35" t="n">
        <x:f>IF(F68=0,E72,SIGN(F68))</x:f>
        <x:v>-1</x:v>
      </x:c>
      <x:c r="G72" s="35" t="n">
        <x:f>IF(G68=0,F72,SIGN(G68))</x:f>
        <x:v>-1</x:v>
      </x:c>
      <x:c r="H72" s="35" t="n">
        <x:f>IF(H68=0,G72,SIGN(H68))</x:f>
        <x:v>-1</x:v>
      </x:c>
      <x:c r="I72" s="35" t="n">
        <x:f>IF(I68=0,H72,SIGN(I68))</x:f>
        <x:v>-1</x:v>
      </x:c>
      <x:c r="J72" s="35" t="n">
        <x:f>IF(J68=0,I72,SIGN(J68))</x:f>
        <x:v>-1</x:v>
      </x:c>
      <x:c r="K72" s="35" t="n">
        <x:f>IF(K68=0,J72,SIGN(K68))</x:f>
        <x:v>-1</x:v>
      </x:c>
      <x:c r="L72" s="35" t="n">
        <x:f>IF(L68=0,K72,SIGN(L68))</x:f>
        <x:v>-1</x:v>
      </x:c>
      <x:c r="M72" s="35" t="n">
        <x:f>IF(M68=0,L72,SIGN(M68))</x:f>
        <x:v>1</x:v>
      </x:c>
    </x:row>
    <x:row r="73" ht="23" customHeight="1">
      <x:c r="A73" s="2"/>
      <x:c r="B73" s="2" t="str">
        <x:v>按揭稅後非零現金流方向</x:v>
      </x:c>
      <x:c r="C73" s="50" t="n">
        <x:f>SIGN(C69)</x:f>
        <x:v>-1</x:v>
      </x:c>
      <x:c r="D73" s="35" t="n">
        <x:f>IF(D69=0,C73,SIGN(D69))</x:f>
        <x:v>-1</x:v>
      </x:c>
      <x:c r="E73" s="35" t="n">
        <x:f>IF(E69=0,D73,SIGN(E69))</x:f>
        <x:v>-1</x:v>
      </x:c>
      <x:c r="F73" s="35" t="n">
        <x:f>IF(F69=0,E73,SIGN(F69))</x:f>
        <x:v>-1</x:v>
      </x:c>
      <x:c r="G73" s="35" t="n">
        <x:f>IF(G69=0,F73,SIGN(G69))</x:f>
        <x:v>-1</x:v>
      </x:c>
      <x:c r="H73" s="35" t="n">
        <x:f>IF(H69=0,G73,SIGN(H69))</x:f>
        <x:v>-1</x:v>
      </x:c>
      <x:c r="I73" s="35" t="n">
        <x:f>IF(I69=0,H73,SIGN(I69))</x:f>
        <x:v>-1</x:v>
      </x:c>
      <x:c r="J73" s="35" t="n">
        <x:f>IF(J69=0,I73,SIGN(J69))</x:f>
        <x:v>-1</x:v>
      </x:c>
      <x:c r="K73" s="35" t="n">
        <x:f>IF(K69=0,J73,SIGN(K69))</x:f>
        <x:v>-1</x:v>
      </x:c>
      <x:c r="L73" s="35" t="n">
        <x:f>IF(L69=0,K73,SIGN(L69))</x:f>
        <x:v>-1</x:v>
      </x:c>
      <x:c r="M73" s="35" t="n">
        <x:f>IF(M69=0,L73,SIGN(M69))</x:f>
        <x:v>1</x:v>
      </x:c>
    </x:row>
    <x:row r="74" ht="23" customHeight="1">
      <x:c r="A74" s="2"/>
      <x:c r="B74" s="2"/>
      <x:c r="C74" s="2"/>
      <x:c r="D74" s="3"/>
      <x:c r="E74" s="3"/>
      <x:c r="F74" s="3"/>
      <x:c r="G74" s="3"/>
      <x:c r="H74" s="3"/>
      <x:c r="I74" s="3"/>
      <x:c r="J74" s="3"/>
      <x:c r="K74" s="3"/>
      <x:c r="L74" s="3"/>
      <x:c r="M74" s="3"/>
    </x:row>
    <x:row r="75" ht="23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  <x:c r="L75" s="3"/>
      <x:c r="M75" s="3"/>
    </x:row>
    <x:row r="76" ht="23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  <x:c r="L76" s="3"/>
      <x:c r="M76" s="3"/>
    </x:row>
    <x:row r="77" ht="23" customHeight="1">
      <x:c r="A77" s="2"/>
      <x:c r="B77" s="2"/>
      <x:c r="C77" s="2"/>
      <x:c r="D77" s="3"/>
      <x:c r="E77" s="3"/>
      <x:c r="F77" s="3"/>
      <x:c r="G77" s="3"/>
      <x:c r="H77" s="3"/>
      <x:c r="I77" s="3"/>
      <x:c r="J77" s="3"/>
      <x:c r="K77" s="3"/>
      <x:c r="L77" s="3"/>
      <x:c r="M77" s="3"/>
    </x:row>
    <x:row r="78" ht="23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  <x:c r="L78" s="3"/>
      <x:c r="M78" s="3"/>
    </x:row>
    <x:row r="79" ht="23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  <x:c r="L79" s="3"/>
      <x:c r="M79" s="3"/>
    </x:row>
    <x:row r="80" ht="23" customHeight="1">
      <x:c r="A80" s="2"/>
      <x:c r="B80" s="2"/>
      <x:c r="C80" s="2"/>
      <x:c r="D80" s="3"/>
      <x:c r="E80" s="3"/>
      <x:c r="F80" s="3"/>
      <x:c r="G80" s="3"/>
      <x:c r="H80" s="3"/>
      <x:c r="I80" s="3"/>
      <x:c r="J80" s="3"/>
      <x:c r="K80" s="3"/>
      <x:c r="L80" s="3"/>
      <x:c r="M80" s="3"/>
    </x:row>
    <x:row r="81" ht="23" customHeight="1">
      <x:c r="A81" s="2"/>
      <x:c r="B81" s="2"/>
      <x:c r="C81" s="2"/>
      <x:c r="D81" s="3"/>
      <x:c r="E81" s="3"/>
      <x:c r="F81" s="3"/>
      <x:c r="G81" s="3"/>
      <x:c r="H81" s="3"/>
      <x:c r="I81" s="3"/>
      <x:c r="J81" s="3"/>
      <x:c r="K81" s="3"/>
      <x:c r="L81" s="3"/>
      <x:c r="M81" s="3"/>
    </x:row>
    <x:row r="82" ht="23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3"/>
      <x:c r="K82" s="3"/>
      <x:c r="L82" s="3"/>
      <x:c r="M82" s="3"/>
    </x:row>
    <x:row r="83" ht="23" customHeight="1">
      <x:c r="A83" s="2"/>
      <x:c r="B83" s="2"/>
      <x:c r="C83" s="2"/>
      <x:c r="D83" s="3"/>
      <x:c r="E83" s="3"/>
      <x:c r="F83" s="3"/>
      <x:c r="G83" s="3"/>
      <x:c r="H83" s="3"/>
      <x:c r="I83" s="3"/>
      <x:c r="J83" s="3"/>
      <x:c r="K83" s="3"/>
      <x:c r="L83" s="3"/>
      <x:c r="M83" s="3"/>
    </x:row>
    <x:row r="84" ht="23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  <x:c r="K84" s="3"/>
      <x:c r="L84" s="3"/>
      <x:c r="M84" s="3"/>
    </x:row>
    <x:row r="85" ht="23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  <x:c r="K85" s="3"/>
      <x:c r="L85" s="3"/>
      <x:c r="M85" s="3"/>
    </x:row>
    <x:row r="86" ht="23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3"/>
      <x:c r="K86" s="3"/>
      <x:c r="L86" s="3"/>
      <x:c r="M86" s="3"/>
    </x:row>
    <x:row r="87" ht="24" customHeight="1">
      <x:c r="A87" s="2"/>
      <x:c r="B87" s="10" t="str">
        <x:v>方案 B：10 年年度明細</x:v>
      </x:c>
      <x:c r="C87" s="10"/>
      <x:c r="D87" s="21"/>
      <x:c r="E87" s="21"/>
      <x:c r="F87" s="21"/>
      <x:c r="G87" s="21"/>
      <x:c r="H87" s="21"/>
      <x:c r="I87" s="21"/>
      <x:c r="J87" s="21"/>
      <x:c r="K87" s="21"/>
      <x:c r="L87" s="21"/>
      <x:c r="M87" s="21"/>
    </x:row>
    <x:row r="88" ht="23" customHeight="1">
      <x:c r="A88" s="2"/>
      <x:c r="B88" s="2" t="str">
        <x:v>年度</x:v>
      </x:c>
      <x:c r="C88" s="26" t="n">
        <x:v>0</x:v>
      </x:c>
      <x:c r="D88" s="23" t="n">
        <x:v>1</x:v>
      </x:c>
      <x:c r="E88" s="23" t="n">
        <x:v>2</x:v>
      </x:c>
      <x:c r="F88" s="23" t="n">
        <x:v>3</x:v>
      </x:c>
      <x:c r="G88" s="23" t="n">
        <x:v>4</x:v>
      </x:c>
      <x:c r="H88" s="23" t="n">
        <x:v>5</x:v>
      </x:c>
      <x:c r="I88" s="23" t="n">
        <x:v>6</x:v>
      </x:c>
      <x:c r="J88" s="23" t="n">
        <x:v>7</x:v>
      </x:c>
      <x:c r="K88" s="23" t="n">
        <x:v>8</x:v>
      </x:c>
      <x:c r="L88" s="23" t="n">
        <x:v>9</x:v>
      </x:c>
      <x:c r="M88" s="23" t="n">
        <x:v>10</x:v>
      </x:c>
    </x:row>
    <x:row r="89" ht="23" customHeight="1">
      <x:c r="A89" s="2"/>
      <x:c r="B89" s="2" t="str">
        <x:v>實收租金月數</x:v>
      </x:c>
      <x:c r="C89" s="2"/>
      <x:c r="D89" s="34" t="n">
        <x:f>12-IF(D$88=1,'進階假設'!$F$17,'進階假設'!$F$18)</x:f>
        <x:v>9</x:v>
      </x:c>
      <x:c r="E89" s="34" t="n">
        <x:f>12-IF(E$88=1,'進階假設'!$F$17,'進階假設'!$F$18)</x:f>
        <x:v>11</x:v>
      </x:c>
      <x:c r="F89" s="34" t="n">
        <x:f>12-IF(F$88=1,'進階假設'!$F$17,'進階假設'!$F$18)</x:f>
        <x:v>11</x:v>
      </x:c>
      <x:c r="G89" s="34" t="n">
        <x:f>12-IF(G$88=1,'進階假設'!$F$17,'進階假設'!$F$18)</x:f>
        <x:v>11</x:v>
      </x:c>
      <x:c r="H89" s="34" t="n">
        <x:f>12-IF(H$88=1,'進階假設'!$F$17,'進階假設'!$F$18)</x:f>
        <x:v>11</x:v>
      </x:c>
      <x:c r="I89" s="34" t="n">
        <x:f>12-IF(I$88=1,'進階假設'!$F$17,'進階假設'!$F$18)</x:f>
        <x:v>11</x:v>
      </x:c>
      <x:c r="J89" s="34" t="n">
        <x:f>12-IF(J$88=1,'進階假設'!$F$17,'進階假設'!$F$18)</x:f>
        <x:v>11</x:v>
      </x:c>
      <x:c r="K89" s="34" t="n">
        <x:f>12-IF(K$88=1,'進階假設'!$F$17,'進階假設'!$F$18)</x:f>
        <x:v>11</x:v>
      </x:c>
      <x:c r="L89" s="34" t="n">
        <x:f>12-IF(L$88=1,'進階假設'!$F$17,'進階假設'!$F$18)</x:f>
        <x:v>11</x:v>
      </x:c>
      <x:c r="M89" s="34" t="n">
        <x:f>12-IF(M$88=1,'進階假設'!$F$17,'進階假設'!$F$18)</x:f>
        <x:v>11</x:v>
      </x:c>
    </x:row>
    <x:row r="90" ht="23" customHeight="1">
      <x:c r="A90" s="2"/>
      <x:c r="B90" s="27" t="str">
        <x:v>租金收入</x:v>
      </x:c>
      <x:c r="C90" s="27"/>
      <x:c r="D90" s="46" t="n">
        <x:f>'進階假設'!$F$8*D89</x:f>
        <x:v>153000</x:v>
      </x:c>
      <x:c r="E90" s="46" t="n">
        <x:f>'進階假設'!$F$8*E89</x:f>
        <x:v>187000</x:v>
      </x:c>
      <x:c r="F90" s="46" t="n">
        <x:f>'進階假設'!$F$8*F89</x:f>
        <x:v>187000</x:v>
      </x:c>
      <x:c r="G90" s="46" t="n">
        <x:f>'進階假設'!$F$8*G89</x:f>
        <x:v>187000</x:v>
      </x:c>
      <x:c r="H90" s="46" t="n">
        <x:f>'進階假設'!$F$8*H89</x:f>
        <x:v>187000</x:v>
      </x:c>
      <x:c r="I90" s="46" t="n">
        <x:f>'進階假設'!$F$8*I89</x:f>
        <x:v>187000</x:v>
      </x:c>
      <x:c r="J90" s="46" t="n">
        <x:f>'進階假設'!$F$8*J89</x:f>
        <x:v>187000</x:v>
      </x:c>
      <x:c r="K90" s="46" t="n">
        <x:f>'進階假設'!$F$8*K89</x:f>
        <x:v>187000</x:v>
      </x:c>
      <x:c r="L90" s="46" t="n">
        <x:f>'進階假設'!$F$8*L89</x:f>
        <x:v>187000</x:v>
      </x:c>
      <x:c r="M90" s="46" t="n">
        <x:f>'進階假設'!$F$8*M89</x:f>
        <x:v>187000</x:v>
      </x:c>
    </x:row>
    <x:row r="91" ht="23" customHeight="1">
      <x:c r="A91" s="2"/>
      <x:c r="B91" s="2" t="str">
        <x:v>自動簽約份數</x:v>
      </x:c>
      <x:c r="C91" s="2"/>
      <x:c r="D91" s="34" t="n">
        <x:f>IF(ISNUMBER('進階假設'!$F$83),'進階假設'!$F$83,IF(D89=0,0,MAX(0,INT((D$88*12-'進階假設'!$F$17-0.000000001)/'進階假設'!$F$30)+1)-MAX(0,INT(((D$88-1)*12-'進階假設'!$F$17-0.000000001)/'進階假設'!$F$30)+1)))</x:f>
        <x:v>1</x:v>
      </x:c>
      <x:c r="E91" s="34" t="n">
        <x:f>IF(ISNUMBER('進階假設'!$F$84),'進階假設'!$F$84,IF(E89=0,0,MAX(0,INT((E$88*12-'進階假設'!$F$17-0.000000001)/'進階假設'!$F$30)+1)-MAX(0,INT(((E$88-1)*12-'進階假設'!$F$17-0.000000001)/'進階假設'!$F$30)+1)))</x:f>
        <x:v>0</x:v>
      </x:c>
      <x:c r="F91" s="34" t="n">
        <x:f>IF(ISNUMBER('進階假設'!$F$85),'進階假設'!$F$85,IF(F89=0,0,MAX(0,INT((F$88*12-'進階假設'!$F$17-0.000000001)/'進階假設'!$F$30)+1)-MAX(0,INT(((F$88-1)*12-'進階假設'!$F$17-0.000000001)/'進階假設'!$F$30)+1)))</x:f>
        <x:v>1</x:v>
      </x:c>
      <x:c r="G91" s="34" t="n">
        <x:f>IF(ISNUMBER('進階假設'!$F$86),'進階假設'!$F$86,IF(G89=0,0,MAX(0,INT((G$88*12-'進階假設'!$F$17-0.000000001)/'進階假設'!$F$30)+1)-MAX(0,INT(((G$88-1)*12-'進階假設'!$F$17-0.000000001)/'進階假設'!$F$30)+1)))</x:f>
        <x:v>0</x:v>
      </x:c>
      <x:c r="H91" s="34" t="n">
        <x:f>IF(ISNUMBER('進階假設'!$F$87),'進階假設'!$F$87,IF(H89=0,0,MAX(0,INT((H$88*12-'進階假設'!$F$17-0.000000001)/'進階假設'!$F$30)+1)-MAX(0,INT(((H$88-1)*12-'進階假設'!$F$17-0.000000001)/'進階假設'!$F$30)+1)))</x:f>
        <x:v>1</x:v>
      </x:c>
      <x:c r="I91" s="34" t="n">
        <x:f>IF(ISNUMBER('進階假設'!$F$88),'進階假設'!$F$88,IF(I89=0,0,MAX(0,INT((I$88*12-'進階假設'!$F$17-0.000000001)/'進階假設'!$F$30)+1)-MAX(0,INT(((I$88-1)*12-'進階假設'!$F$17-0.000000001)/'進階假設'!$F$30)+1)))</x:f>
        <x:v>0</x:v>
      </x:c>
      <x:c r="J91" s="34" t="n">
        <x:f>IF(ISNUMBER('進階假設'!$F$89),'進階假設'!$F$89,IF(J89=0,0,MAX(0,INT((J$88*12-'進階假設'!$F$17-0.000000001)/'進階假設'!$F$30)+1)-MAX(0,INT(((J$88-1)*12-'進階假設'!$F$17-0.000000001)/'進階假設'!$F$30)+1)))</x:f>
        <x:v>1</x:v>
      </x:c>
      <x:c r="K91" s="34" t="n">
        <x:f>IF(ISNUMBER('進階假設'!$F$90),'進階假設'!$F$90,IF(K89=0,0,MAX(0,INT((K$88*12-'進階假設'!$F$17-0.000000001)/'進階假設'!$F$30)+1)-MAX(0,INT(((K$88-1)*12-'進階假設'!$F$17-0.000000001)/'進階假設'!$F$30)+1)))</x:f>
        <x:v>0</x:v>
      </x:c>
      <x:c r="L91" s="34" t="n">
        <x:f>IF(ISNUMBER('進階假設'!$F$91),'進階假設'!$F$91,IF(L89=0,0,MAX(0,INT((L$88*12-'進階假設'!$F$17-0.000000001)/'進階假設'!$F$30)+1)-MAX(0,INT(((L$88-1)*12-'進階假設'!$F$17-0.000000001)/'進階假設'!$F$30)+1)))</x:f>
        <x:v>1</x:v>
      </x:c>
      <x:c r="M91" s="34" t="n">
        <x:f>IF(ISNUMBER('進階假設'!$F$92),'進階假設'!$F$92,IF(M89=0,0,MAX(0,INT((M$88*12-'進階假設'!$F$17-0.000000001)/'進階假設'!$F$30)+1)-MAX(0,INT(((M$88-1)*12-'進階假設'!$F$17-0.000000001)/'進階假設'!$F$30)+1)))</x:f>
        <x:v>0</x:v>
      </x:c>
    </x:row>
    <x:row r="92" ht="23" customHeight="1">
      <x:c r="A92" s="2"/>
      <x:c r="B92" s="2" t="str">
        <x:v>招租佣金</x:v>
      </x:c>
      <x:c r="C92" s="2"/>
      <x:c r="D92" s="34" t="n">
        <x:f>IF(ISNUMBER('進階假設'!$F$99),'進階假設'!$F$99,D91)*'進階假設'!$F$8*'進階假設'!$F$29</x:f>
        <x:v>8500</x:v>
      </x:c>
      <x:c r="E92" s="34" t="n">
        <x:f>IF(ISNUMBER('進階假設'!$F$100),'進階假設'!$F$100,E91)*'進階假設'!$F$8*'進階假設'!$F$29</x:f>
        <x:v>0</x:v>
      </x:c>
      <x:c r="F92" s="34" t="n">
        <x:f>IF(ISNUMBER('進階假設'!$F$101),'進階假設'!$F$101,F91)*'進階假設'!$F$8*'進階假設'!$F$29</x:f>
        <x:v>8500</x:v>
      </x:c>
      <x:c r="G92" s="34" t="n">
        <x:f>IF(ISNUMBER('進階假設'!$F$102),'進階假設'!$F$102,G91)*'進階假設'!$F$8*'進階假設'!$F$29</x:f>
        <x:v>0</x:v>
      </x:c>
      <x:c r="H92" s="34" t="n">
        <x:f>IF(ISNUMBER('進階假設'!$F$103),'進階假設'!$F$103,H91)*'進階假設'!$F$8*'進階假設'!$F$29</x:f>
        <x:v>8500</x:v>
      </x:c>
      <x:c r="I92" s="34" t="n">
        <x:f>IF(ISNUMBER('進階假設'!$F$104),'進階假設'!$F$104,I91)*'進階假設'!$F$8*'進階假設'!$F$29</x:f>
        <x:v>0</x:v>
      </x:c>
      <x:c r="J92" s="34" t="n">
        <x:f>IF(ISNUMBER('進階假設'!$F$105),'進階假設'!$F$105,J91)*'進階假設'!$F$8*'進階假設'!$F$29</x:f>
        <x:v>8500</x:v>
      </x:c>
      <x:c r="K92" s="34" t="n">
        <x:f>IF(ISNUMBER('進階假設'!$F$106),'進階假設'!$F$106,K91)*'進階假設'!$F$8*'進階假設'!$F$29</x:f>
        <x:v>0</x:v>
      </x:c>
      <x:c r="L92" s="34" t="n">
        <x:f>IF(ISNUMBER('進階假設'!$F$107),'進階假設'!$F$107,L91)*'進階假設'!$F$8*'進階假設'!$F$29</x:f>
        <x:v>8500</x:v>
      </x:c>
      <x:c r="M92" s="34" t="n">
        <x:f>IF(ISNUMBER('進階假設'!$F$108),'進階假設'!$F$108,M91)*'進階假設'!$F$8*'進階假設'!$F$29</x:f>
        <x:v>0</x:v>
      </x:c>
    </x:row>
    <x:row r="93" ht="23" customHeight="1">
      <x:c r="A93" s="2"/>
      <x:c r="B93" s="2" t="str">
        <x:v>租約印花稅（業主）</x:v>
      </x:c>
      <x:c r="C93" s="2"/>
      <x:c r="D93" s="34" t="n">
        <x:f>D91*'進階假設'!$F$57</x:f>
        <x:v>512.5</x:v>
      </x:c>
      <x:c r="E93" s="34" t="n">
        <x:f>E91*'進階假設'!$F$57</x:f>
        <x:v>0</x:v>
      </x:c>
      <x:c r="F93" s="34" t="n">
        <x:f>F91*'進階假設'!$F$57</x:f>
        <x:v>512.5</x:v>
      </x:c>
      <x:c r="G93" s="34" t="n">
        <x:f>G91*'進階假設'!$F$57</x:f>
        <x:v>0</x:v>
      </x:c>
      <x:c r="H93" s="34" t="n">
        <x:f>H91*'進階假設'!$F$57</x:f>
        <x:v>512.5</x:v>
      </x:c>
      <x:c r="I93" s="34" t="n">
        <x:f>I91*'進階假設'!$F$57</x:f>
        <x:v>0</x:v>
      </x:c>
      <x:c r="J93" s="34" t="n">
        <x:f>J91*'進階假設'!$F$57</x:f>
        <x:v>512.5</x:v>
      </x:c>
      <x:c r="K93" s="34" t="n">
        <x:f>K91*'進階假設'!$F$57</x:f>
        <x:v>0</x:v>
      </x:c>
      <x:c r="L93" s="34" t="n">
        <x:f>L91*'進階假設'!$F$57</x:f>
        <x:v>512.5</x:v>
      </x:c>
      <x:c r="M93" s="34" t="n">
        <x:f>M91*'進階假設'!$F$57</x:f>
        <x:v>0</x:v>
      </x:c>
    </x:row>
    <x:row r="94" ht="23" customHeight="1">
      <x:c r="A94" s="2"/>
      <x:c r="B94" s="2" t="str">
        <x:v>管理費</x:v>
      </x:c>
      <x:c r="C94" s="2"/>
      <x:c r="D94" s="34" t="n">
        <x:f>'進階假設'!$F$23</x:f>
        <x:v>12000</x:v>
      </x:c>
      <x:c r="E94" s="34" t="n">
        <x:f>'進階假設'!$F$23</x:f>
        <x:v>12000</x:v>
      </x:c>
      <x:c r="F94" s="34" t="n">
        <x:f>'進階假設'!$F$23</x:f>
        <x:v>12000</x:v>
      </x:c>
      <x:c r="G94" s="34" t="n">
        <x:f>'進階假設'!$F$23</x:f>
        <x:v>12000</x:v>
      </x:c>
      <x:c r="H94" s="34" t="n">
        <x:f>'進階假設'!$F$23</x:f>
        <x:v>12000</x:v>
      </x:c>
      <x:c r="I94" s="34" t="n">
        <x:f>'進階假設'!$F$23</x:f>
        <x:v>12000</x:v>
      </x:c>
      <x:c r="J94" s="34" t="n">
        <x:f>'進階假設'!$F$23</x:f>
        <x:v>12000</x:v>
      </x:c>
      <x:c r="K94" s="34" t="n">
        <x:f>'進階假設'!$F$23</x:f>
        <x:v>12000</x:v>
      </x:c>
      <x:c r="L94" s="34" t="n">
        <x:f>'進階假設'!$F$23</x:f>
        <x:v>12000</x:v>
      </x:c>
      <x:c r="M94" s="34" t="n">
        <x:f>'進階假設'!$F$23</x:f>
        <x:v>12000</x:v>
      </x:c>
    </x:row>
    <x:row r="95" ht="23" customHeight="1">
      <x:c r="A95" s="2"/>
      <x:c r="B95" s="2" t="str">
        <x:v>差餉</x:v>
      </x:c>
      <x:c r="C95" s="2"/>
      <x:c r="D95" s="34" t="n">
        <x:f>'進階假設'!$F$47</x:f>
        <x:v>10200</x:v>
      </x:c>
      <x:c r="E95" s="34" t="n">
        <x:f>'進階假設'!$F$47</x:f>
        <x:v>10200</x:v>
      </x:c>
      <x:c r="F95" s="34" t="n">
        <x:f>'進階假設'!$F$47</x:f>
        <x:v>10200</x:v>
      </x:c>
      <x:c r="G95" s="34" t="n">
        <x:f>'進階假設'!$F$47</x:f>
        <x:v>10200</x:v>
      </x:c>
      <x:c r="H95" s="34" t="n">
        <x:f>'進階假設'!$F$47</x:f>
        <x:v>10200</x:v>
      </x:c>
      <x:c r="I95" s="34" t="n">
        <x:f>'進階假設'!$F$47</x:f>
        <x:v>10200</x:v>
      </x:c>
      <x:c r="J95" s="34" t="n">
        <x:f>'進階假設'!$F$47</x:f>
        <x:v>10200</x:v>
      </x:c>
      <x:c r="K95" s="34" t="n">
        <x:f>'進階假設'!$F$47</x:f>
        <x:v>10200</x:v>
      </x:c>
      <x:c r="L95" s="34" t="n">
        <x:f>'進階假設'!$F$47</x:f>
        <x:v>10200</x:v>
      </x:c>
      <x:c r="M95" s="34" t="n">
        <x:f>'進階假設'!$F$47</x:f>
        <x:v>10200</x:v>
      </x:c>
    </x:row>
    <x:row r="96" ht="23" customHeight="1">
      <x:c r="A96" s="2"/>
      <x:c r="B96" s="2" t="str">
        <x:v>地租</x:v>
      </x:c>
      <x:c r="C96" s="2"/>
      <x:c r="D96" s="34" t="n">
        <x:f>'進階假設'!$F$48</x:f>
        <x:v>6120</x:v>
      </x:c>
      <x:c r="E96" s="34" t="n">
        <x:f>'進階假設'!$F$48</x:f>
        <x:v>6120</x:v>
      </x:c>
      <x:c r="F96" s="34" t="n">
        <x:f>'進階假設'!$F$48</x:f>
        <x:v>6120</x:v>
      </x:c>
      <x:c r="G96" s="34" t="n">
        <x:f>'進階假設'!$F$48</x:f>
        <x:v>6120</x:v>
      </x:c>
      <x:c r="H96" s="34" t="n">
        <x:f>'進階假設'!$F$48</x:f>
        <x:v>6120</x:v>
      </x:c>
      <x:c r="I96" s="34" t="n">
        <x:f>'進階假設'!$F$48</x:f>
        <x:v>6120</x:v>
      </x:c>
      <x:c r="J96" s="34" t="n">
        <x:f>'進階假設'!$F$48</x:f>
        <x:v>6120</x:v>
      </x:c>
      <x:c r="K96" s="34" t="n">
        <x:f>'進階假設'!$F$48</x:f>
        <x:v>6120</x:v>
      </x:c>
      <x:c r="L96" s="34" t="n">
        <x:f>'進階假設'!$F$48</x:f>
        <x:v>6120</x:v>
      </x:c>
      <x:c r="M96" s="34" t="n">
        <x:f>'進階假設'!$F$48</x:f>
        <x:v>6120</x:v>
      </x:c>
    </x:row>
    <x:row r="97" ht="23" customHeight="1">
      <x:c r="A97" s="2"/>
      <x:c r="B97" s="2" t="str">
        <x:v>保險</x:v>
      </x:c>
      <x:c r="C97" s="2"/>
      <x:c r="D97" s="34" t="n">
        <x:f>'進階假設'!$F$26</x:f>
        <x:v>2500</x:v>
      </x:c>
      <x:c r="E97" s="34" t="n">
        <x:f>'進階假設'!$F$26</x:f>
        <x:v>2500</x:v>
      </x:c>
      <x:c r="F97" s="34" t="n">
        <x:f>'進階假設'!$F$26</x:f>
        <x:v>2500</x:v>
      </x:c>
      <x:c r="G97" s="34" t="n">
        <x:f>'進階假設'!$F$26</x:f>
        <x:v>2500</x:v>
      </x:c>
      <x:c r="H97" s="34" t="n">
        <x:f>'進階假設'!$F$26</x:f>
        <x:v>2500</x:v>
      </x:c>
      <x:c r="I97" s="34" t="n">
        <x:f>'進階假設'!$F$26</x:f>
        <x:v>2500</x:v>
      </x:c>
      <x:c r="J97" s="34" t="n">
        <x:f>'進階假設'!$F$26</x:f>
        <x:v>2500</x:v>
      </x:c>
      <x:c r="K97" s="34" t="n">
        <x:f>'進階假設'!$F$26</x:f>
        <x:v>2500</x:v>
      </x:c>
      <x:c r="L97" s="34" t="n">
        <x:f>'進階假設'!$F$26</x:f>
        <x:v>2500</x:v>
      </x:c>
      <x:c r="M97" s="34" t="n">
        <x:f>'進階假設'!$F$26</x:f>
        <x:v>2500</x:v>
      </x:c>
    </x:row>
    <x:row r="98" ht="23" customHeight="1">
      <x:c r="A98" s="2"/>
      <x:c r="B98" s="2" t="str">
        <x:v>日常維修</x:v>
      </x:c>
      <x:c r="C98" s="2"/>
      <x:c r="D98" s="34" t="n">
        <x:f>'進階假設'!$F$27</x:f>
        <x:v>8000</x:v>
      </x:c>
      <x:c r="E98" s="34" t="n">
        <x:f>'進階假設'!$F$27</x:f>
        <x:v>8000</x:v>
      </x:c>
      <x:c r="F98" s="34" t="n">
        <x:f>'進階假設'!$F$27</x:f>
        <x:v>8000</x:v>
      </x:c>
      <x:c r="G98" s="34" t="n">
        <x:f>'進階假設'!$F$27</x:f>
        <x:v>8000</x:v>
      </x:c>
      <x:c r="H98" s="34" t="n">
        <x:f>'進階假設'!$F$27</x:f>
        <x:v>8000</x:v>
      </x:c>
      <x:c r="I98" s="34" t="n">
        <x:f>'進階假設'!$F$27</x:f>
        <x:v>8000</x:v>
      </x:c>
      <x:c r="J98" s="34" t="n">
        <x:f>'進階假設'!$F$27</x:f>
        <x:v>8000</x:v>
      </x:c>
      <x:c r="K98" s="34" t="n">
        <x:f>'進階假設'!$F$27</x:f>
        <x:v>8000</x:v>
      </x:c>
      <x:c r="L98" s="34" t="n">
        <x:f>'進階假設'!$F$27</x:f>
        <x:v>8000</x:v>
      </x:c>
      <x:c r="M98" s="34" t="n">
        <x:f>'進階假設'!$F$27</x:f>
        <x:v>8000</x:v>
      </x:c>
    </x:row>
    <x:row r="99" ht="23" customHeight="1">
      <x:c r="A99" s="2"/>
      <x:c r="B99" s="2" t="str">
        <x:v>預計大修／更新支出</x:v>
      </x:c>
      <x:c r="C99" s="2"/>
      <x:c r="D99" s="34" t="n">
        <x:f>'進階假設'!$F$28</x:f>
        <x:v>0</x:v>
      </x:c>
      <x:c r="E99" s="34" t="n">
        <x:f>'進階假設'!$F$28</x:f>
        <x:v>0</x:v>
      </x:c>
      <x:c r="F99" s="34" t="n">
        <x:f>'進階假設'!$F$28</x:f>
        <x:v>0</x:v>
      </x:c>
      <x:c r="G99" s="34" t="n">
        <x:f>'進階假設'!$F$28</x:f>
        <x:v>0</x:v>
      </x:c>
      <x:c r="H99" s="34" t="n">
        <x:f>'進階假設'!$F$28</x:f>
        <x:v>0</x:v>
      </x:c>
      <x:c r="I99" s="34" t="n">
        <x:f>'進階假設'!$F$28</x:f>
        <x:v>0</x:v>
      </x:c>
      <x:c r="J99" s="34" t="n">
        <x:f>'進階假設'!$F$28</x:f>
        <x:v>0</x:v>
      </x:c>
      <x:c r="K99" s="34" t="n">
        <x:f>'進階假設'!$F$28</x:f>
        <x:v>0</x:v>
      </x:c>
      <x:c r="L99" s="34" t="n">
        <x:f>'進階假設'!$F$28</x:f>
        <x:v>0</x:v>
      </x:c>
      <x:c r="M99" s="34" t="n">
        <x:f>'進階假設'!$F$28</x:f>
        <x:v>0</x:v>
      </x:c>
    </x:row>
    <x:row r="100" ht="23" customHeight="1">
      <x:c r="A100" s="2"/>
      <x:c r="B100" s="2" t="str">
        <x:v>額外工程</x:v>
      </x:c>
      <x:c r="C100" s="2"/>
      <x:c r="D100" s="34" t="n">
        <x:f>'進階假設'!$F$65</x:f>
        <x:v>0</x:v>
      </x:c>
      <x:c r="E100" s="34" t="n">
        <x:f>'進階假設'!$F$66</x:f>
        <x:v>0</x:v>
      </x:c>
      <x:c r="F100" s="34" t="n">
        <x:f>'進階假設'!$F$67</x:f>
        <x:v>0</x:v>
      </x:c>
      <x:c r="G100" s="34" t="n">
        <x:f>'進階假設'!$F$68</x:f>
        <x:v>0</x:v>
      </x:c>
      <x:c r="H100" s="34" t="n">
        <x:f>'進階假設'!$F$69</x:f>
        <x:v>0</x:v>
      </x:c>
      <x:c r="I100" s="34" t="n">
        <x:f>'進階假設'!$F$70</x:f>
        <x:v>0</x:v>
      </x:c>
      <x:c r="J100" s="34" t="n">
        <x:f>'進階假設'!$F$71</x:f>
        <x:v>0</x:v>
      </x:c>
      <x:c r="K100" s="34" t="n">
        <x:f>'進階假設'!$F$72</x:f>
        <x:v>0</x:v>
      </x:c>
      <x:c r="L100" s="34" t="n">
        <x:f>'進階假設'!$F$73</x:f>
        <x:v>0</x:v>
      </x:c>
      <x:c r="M100" s="34" t="n">
        <x:f>'進階假設'!$F$74</x:f>
        <x:v>0</x:v>
      </x:c>
    </x:row>
    <x:row r="101" ht="23" customHeight="1">
      <x:c r="A101" s="2"/>
      <x:c r="B101" s="27" t="str">
        <x:v>營運支出合計</x:v>
      </x:c>
      <x:c r="C101" s="27"/>
      <x:c r="D101" s="49" t="n">
        <x:f>SUM(D92:D100)</x:f>
        <x:v>47832.5</x:v>
      </x:c>
      <x:c r="E101" s="49" t="n">
        <x:f>SUM(E92:E100)</x:f>
        <x:v>38820</x:v>
      </x:c>
      <x:c r="F101" s="49" t="n">
        <x:f>SUM(F92:F100)</x:f>
        <x:v>47832.5</x:v>
      </x:c>
      <x:c r="G101" s="49" t="n">
        <x:f>SUM(G92:G100)</x:f>
        <x:v>38820</x:v>
      </x:c>
      <x:c r="H101" s="49" t="n">
        <x:f>SUM(H92:H100)</x:f>
        <x:v>47832.5</x:v>
      </x:c>
      <x:c r="I101" s="49" t="n">
        <x:f>SUM(I92:I100)</x:f>
        <x:v>38820</x:v>
      </x:c>
      <x:c r="J101" s="49" t="n">
        <x:f>SUM(J92:J100)</x:f>
        <x:v>47832.5</x:v>
      </x:c>
      <x:c r="K101" s="49" t="n">
        <x:f>SUM(K92:K100)</x:f>
        <x:v>38820</x:v>
      </x:c>
      <x:c r="L101" s="49" t="n">
        <x:f>SUM(L92:L100)</x:f>
        <x:v>47832.5</x:v>
      </x:c>
      <x:c r="M101" s="49" t="n">
        <x:f>SUM(M92:M100)</x:f>
        <x:v>38820</x:v>
      </x:c>
    </x:row>
    <x:row r="102" ht="23" customHeight="1">
      <x:c r="A102" s="2"/>
      <x:c r="B102" s="27" t="str">
        <x:v>全現金營運現金（稅前）</x:v>
      </x:c>
      <x:c r="C102" s="27"/>
      <x:c r="D102" s="49" t="n">
        <x:f>D90-D101</x:f>
        <x:v>105167.5</x:v>
      </x:c>
      <x:c r="E102" s="49" t="n">
        <x:f>E90-E101</x:f>
        <x:v>148180</x:v>
      </x:c>
      <x:c r="F102" s="49" t="n">
        <x:f>F90-F101</x:f>
        <x:v>139167.5</x:v>
      </x:c>
      <x:c r="G102" s="49" t="n">
        <x:f>G90-G101</x:f>
        <x:v>148180</x:v>
      </x:c>
      <x:c r="H102" s="49" t="n">
        <x:f>H90-H101</x:f>
        <x:v>139167.5</x:v>
      </x:c>
      <x:c r="I102" s="49" t="n">
        <x:f>I90-I101</x:f>
        <x:v>148180</x:v>
      </x:c>
      <x:c r="J102" s="49" t="n">
        <x:f>J90-J101</x:f>
        <x:v>139167.5</x:v>
      </x:c>
      <x:c r="K102" s="49" t="n">
        <x:f>K90-K101</x:f>
        <x:v>148180</x:v>
      </x:c>
      <x:c r="L102" s="49" t="n">
        <x:f>L90-L101</x:f>
        <x:v>139167.5</x:v>
      </x:c>
      <x:c r="M102" s="49" t="n">
        <x:f>M90-M101</x:f>
        <x:v>148180</x:v>
      </x:c>
    </x:row>
    <x:row r="103" ht="23" customHeight="1">
      <x:c r="A103" s="2"/>
      <x:c r="B103" s="2" t="str">
        <x:v>可扣稅差餉</x:v>
      </x:c>
      <x:c r="C103" s="2"/>
      <x:c r="D103" s="34" t="n">
        <x:f>D95*IF(D$88=1,'進階假設'!$F$35,1)</x:f>
        <x:v>10200</x:v>
      </x:c>
      <x:c r="E103" s="34" t="n">
        <x:f>E95*IF(E$88=1,'進階假設'!$F$35,1)</x:f>
        <x:v>10200</x:v>
      </x:c>
      <x:c r="F103" s="34" t="n">
        <x:f>F95*IF(F$88=1,'進階假設'!$F$35,1)</x:f>
        <x:v>10200</x:v>
      </x:c>
      <x:c r="G103" s="34" t="n">
        <x:f>G95*IF(G$88=1,'進階假設'!$F$35,1)</x:f>
        <x:v>10200</x:v>
      </x:c>
      <x:c r="H103" s="34" t="n">
        <x:f>H95*IF(H$88=1,'進階假設'!$F$35,1)</x:f>
        <x:v>10200</x:v>
      </x:c>
      <x:c r="I103" s="34" t="n">
        <x:f>I95*IF(I$88=1,'進階假設'!$F$35,1)</x:f>
        <x:v>10200</x:v>
      </x:c>
      <x:c r="J103" s="34" t="n">
        <x:f>J95*IF(J$88=1,'進階假設'!$F$35,1)</x:f>
        <x:v>10200</x:v>
      </x:c>
      <x:c r="K103" s="34" t="n">
        <x:f>K95*IF(K$88=1,'進階假設'!$F$35,1)</x:f>
        <x:v>10200</x:v>
      </x:c>
      <x:c r="L103" s="34" t="n">
        <x:f>L95*IF(L$88=1,'進階假設'!$F$35,1)</x:f>
        <x:v>10200</x:v>
      </x:c>
      <x:c r="M103" s="34" t="n">
        <x:f>M95*IF(M$88=1,'進階假設'!$F$35,1)</x:f>
        <x:v>10200</x:v>
      </x:c>
    </x:row>
    <x:row r="104" ht="23" customHeight="1">
      <x:c r="A104" s="2"/>
      <x:c r="B104" s="2" t="str">
        <x:v>普通物業稅</x:v>
      </x:c>
      <x:c r="C104" s="2"/>
      <x:c r="D104" s="34" t="n">
        <x:f>MAX(0,D90-D103)*(1-'進階假設'!$F$38)*'進階假設'!$F$37</x:f>
        <x:v>17136</x:v>
      </x:c>
      <x:c r="E104" s="34" t="n">
        <x:f>MAX(0,E90-E103)*(1-'進階假設'!$F$38)*'進階假設'!$F$37</x:f>
        <x:v>21216</x:v>
      </x:c>
      <x:c r="F104" s="34" t="n">
        <x:f>MAX(0,F90-F103)*(1-'進階假設'!$F$38)*'進階假設'!$F$37</x:f>
        <x:v>21216</x:v>
      </x:c>
      <x:c r="G104" s="34" t="n">
        <x:f>MAX(0,G90-G103)*(1-'進階假設'!$F$38)*'進階假設'!$F$37</x:f>
        <x:v>21216</x:v>
      </x:c>
      <x:c r="H104" s="34" t="n">
        <x:f>MAX(0,H90-H103)*(1-'進階假設'!$F$38)*'進階假設'!$F$37</x:f>
        <x:v>21216</x:v>
      </x:c>
      <x:c r="I104" s="34" t="n">
        <x:f>MAX(0,I90-I103)*(1-'進階假設'!$F$38)*'進階假設'!$F$37</x:f>
        <x:v>21216</x:v>
      </x:c>
      <x:c r="J104" s="34" t="n">
        <x:f>MAX(0,J90-J103)*(1-'進階假設'!$F$38)*'進階假設'!$F$37</x:f>
        <x:v>21216</x:v>
      </x:c>
      <x:c r="K104" s="34" t="n">
        <x:f>MAX(0,K90-K103)*(1-'進階假設'!$F$38)*'進階假設'!$F$37</x:f>
        <x:v>21216</x:v>
      </x:c>
      <x:c r="L104" s="34" t="n">
        <x:f>MAX(0,L90-L103)*(1-'進階假設'!$F$38)*'進階假設'!$F$37</x:f>
        <x:v>21216</x:v>
      </x:c>
      <x:c r="M104" s="34" t="n">
        <x:f>MAX(0,M90-M103)*(1-'進階假設'!$F$38)*'進階假設'!$F$37</x:f>
        <x:v>21216</x:v>
      </x:c>
    </x:row>
    <x:row r="105" ht="23" customHeight="1">
      <x:c r="A105" s="2"/>
      <x:c r="B105" s="27" t="str">
        <x:v>全現金營運現金（稅後）</x:v>
      </x:c>
      <x:c r="C105" s="27"/>
      <x:c r="D105" s="49" t="n">
        <x:f>D102-D104</x:f>
        <x:v>88031.5</x:v>
      </x:c>
      <x:c r="E105" s="49" t="n">
        <x:f>E102-E104</x:f>
        <x:v>126964</x:v>
      </x:c>
      <x:c r="F105" s="49" t="n">
        <x:f>F102-F104</x:f>
        <x:v>117951.5</x:v>
      </x:c>
      <x:c r="G105" s="49" t="n">
        <x:f>G102-G104</x:f>
        <x:v>126964</x:v>
      </x:c>
      <x:c r="H105" s="49" t="n">
        <x:f>H102-H104</x:f>
        <x:v>117951.5</x:v>
      </x:c>
      <x:c r="I105" s="49" t="n">
        <x:f>I102-I104</x:f>
        <x:v>126964</x:v>
      </x:c>
      <x:c r="J105" s="49" t="n">
        <x:f>J102-J104</x:f>
        <x:v>117951.5</x:v>
      </x:c>
      <x:c r="K105" s="49" t="n">
        <x:f>K102-K104</x:f>
        <x:v>126964</x:v>
      </x:c>
      <x:c r="L105" s="49" t="n">
        <x:f>L102-L104</x:f>
        <x:v>117951.5</x:v>
      </x:c>
      <x:c r="M105" s="49" t="n">
        <x:f>M102-M104</x:f>
        <x:v>126964</x:v>
      </x:c>
    </x:row>
    <x:row r="106" ht="23" customHeight="1">
      <x:c r="A106" s="2"/>
      <x:c r="B106" s="2" t="str">
        <x:v>年初貸款</x:v>
      </x:c>
      <x:c r="C106" s="2"/>
      <x:c r="D106" s="34" t="n">
        <x:f>'進階假設'!$F$43</x:f>
        <x:v>2800000</x:v>
      </x:c>
      <x:c r="E106" s="35" t="n">
        <x:f>D108</x:f>
        <x:v>2696236.1729823947</x:v>
      </x:c>
      <x:c r="F106" s="35" t="n">
        <x:f>E108</x:f>
        <x:v>2589316.269873086</x:v>
      </x:c>
      <x:c r="G106" s="35" t="n">
        <x:f>F108</x:f>
        <x:v>2479144.2955976077</x:v>
      </x:c>
      <x:c r="H106" s="35" t="n">
        <x:f>G108</x:f>
        <x:v>2365621.335299491</x:v>
      </x:c>
      <x:c r="I106" s="35" t="n">
        <x:f>H108</x:f>
        <x:v>2248645.4655322526</x:v>
      </x:c>
      <x:c r="J106" s="35" t="n">
        <x:f>I108</x:f>
        <x:v>2128111.6627502544</x:v>
      </x:c>
      <x:c r="K106" s="35" t="n">
        <x:f>J108</x:f>
        <x:v>2003911.7090162174</x:v>
      </x:c>
      <x:c r="L106" s="35" t="n">
        <x:f>K108</x:f>
        <x:v>1875934.0948407468</x:v>
      </x:c>
      <x:c r="M106" s="35" t="n">
        <x:f>L108</x:f>
        <x:v>1744063.9190666215</x:v>
      </x:c>
    </x:row>
    <x:row r="107" ht="23" customHeight="1">
      <x:c r="A107" s="2"/>
      <x:c r="B107" s="2" t="str">
        <x:v>全年按揭供款</x:v>
      </x:c>
      <x:c r="C107" s="2"/>
      <x:c r="D107" s="34" t="n">
        <x:f>'進階假設'!$F$44*MIN(12,MAX(0,'進階假設'!$F$14*12-(D$88-1)*12))</x:f>
        <x:v>186344.79287891445</x:v>
      </x:c>
      <x:c r="E107" s="34" t="n">
        <x:f>'進階假設'!$F$44*MIN(12,MAX(0,'進階假設'!$F$14*12-(E$88-1)*12))</x:f>
        <x:v>186344.79287891445</x:v>
      </x:c>
      <x:c r="F107" s="34" t="n">
        <x:f>'進階假設'!$F$44*MIN(12,MAX(0,'進階假設'!$F$14*12-(F$88-1)*12))</x:f>
        <x:v>186344.79287891445</x:v>
      </x:c>
      <x:c r="G107" s="34" t="n">
        <x:f>'進階假設'!$F$44*MIN(12,MAX(0,'進階假設'!$F$14*12-(G$88-1)*12))</x:f>
        <x:v>186344.79287891445</x:v>
      </x:c>
      <x:c r="H107" s="34" t="n">
        <x:f>'進階假設'!$F$44*MIN(12,MAX(0,'進階假設'!$F$14*12-(H$88-1)*12))</x:f>
        <x:v>186344.79287891445</x:v>
      </x:c>
      <x:c r="I107" s="34" t="n">
        <x:f>'進階假設'!$F$44*MIN(12,MAX(0,'進階假設'!$F$14*12-(I$88-1)*12))</x:f>
        <x:v>186344.79287891445</x:v>
      </x:c>
      <x:c r="J107" s="34" t="n">
        <x:f>'進階假設'!$F$44*MIN(12,MAX(0,'進階假設'!$F$14*12-(J$88-1)*12))</x:f>
        <x:v>186344.79287891445</x:v>
      </x:c>
      <x:c r="K107" s="34" t="n">
        <x:f>'進階假設'!$F$44*MIN(12,MAX(0,'進階假設'!$F$14*12-(K$88-1)*12))</x:f>
        <x:v>186344.79287891445</x:v>
      </x:c>
      <x:c r="L107" s="34" t="n">
        <x:f>'進階假設'!$F$44*MIN(12,MAX(0,'進階假設'!$F$14*12-(L$88-1)*12))</x:f>
        <x:v>186344.79287891445</x:v>
      </x:c>
      <x:c r="M107" s="34" t="n">
        <x:f>'進階假設'!$F$44*MIN(12,MAX(0,'進階假設'!$F$14*12-(M$88-1)*12))</x:f>
        <x:v>186344.79287891445</x:v>
      </x:c>
    </x:row>
    <x:row r="108" ht="23" customHeight="1">
      <x:c r="A108" s="2"/>
      <x:c r="B108" s="27" t="str">
        <x:v>年末貸款</x:v>
      </x:c>
      <x:c r="C108" s="27"/>
      <x:c r="D108" s="46" t="n">
        <x:f>IF(MAX(0,'進階假設'!$F$14*12-D$88*12)=0,0,IF('進階假設'!$F$13=0,'進階假設'!$F$43*MAX(0,'進階假設'!$F$14*12-D$88*12)/('進階假設'!$F$14*12),'進階假設'!$F$44*(1-(1+'進階假設'!$F$13/12)^(-MAX(0,'進階假設'!$F$14*12-D$88*12)))/('進階假設'!$F$13/12)))</x:f>
        <x:v>2696236.1729823947</x:v>
      </x:c>
      <x:c r="E108" s="46" t="n">
        <x:f>IF(MAX(0,'進階假設'!$F$14*12-E$88*12)=0,0,IF('進階假設'!$F$13=0,'進階假設'!$F$43*MAX(0,'進階假設'!$F$14*12-E$88*12)/('進階假設'!$F$14*12),'進階假設'!$F$44*(1-(1+'進階假設'!$F$13/12)^(-MAX(0,'進階假設'!$F$14*12-E$88*12)))/('進階假設'!$F$13/12)))</x:f>
        <x:v>2589316.269873086</x:v>
      </x:c>
      <x:c r="F108" s="46" t="n">
        <x:f>IF(MAX(0,'進階假設'!$F$14*12-F$88*12)=0,0,IF('進階假設'!$F$13=0,'進階假設'!$F$43*MAX(0,'進階假設'!$F$14*12-F$88*12)/('進階假設'!$F$14*12),'進階假設'!$F$44*(1-(1+'進階假設'!$F$13/12)^(-MAX(0,'進階假設'!$F$14*12-F$88*12)))/('進階假設'!$F$13/12)))</x:f>
        <x:v>2479144.2955976077</x:v>
      </x:c>
      <x:c r="G108" s="46" t="n">
        <x:f>IF(MAX(0,'進階假設'!$F$14*12-G$88*12)=0,0,IF('進階假設'!$F$13=0,'進階假設'!$F$43*MAX(0,'進階假設'!$F$14*12-G$88*12)/('進階假設'!$F$14*12),'進階假設'!$F$44*(1-(1+'進階假設'!$F$13/12)^(-MAX(0,'進階假設'!$F$14*12-G$88*12)))/('進階假設'!$F$13/12)))</x:f>
        <x:v>2365621.335299491</x:v>
      </x:c>
      <x:c r="H108" s="46" t="n">
        <x:f>IF(MAX(0,'進階假設'!$F$14*12-H$88*12)=0,0,IF('進階假設'!$F$13=0,'進階假設'!$F$43*MAX(0,'進階假設'!$F$14*12-H$88*12)/('進階假設'!$F$14*12),'進階假設'!$F$44*(1-(1+'進階假設'!$F$13/12)^(-MAX(0,'進階假設'!$F$14*12-H$88*12)))/('進階假設'!$F$13/12)))</x:f>
        <x:v>2248645.4655322526</x:v>
      </x:c>
      <x:c r="I108" s="46" t="n">
        <x:f>IF(MAX(0,'進階假設'!$F$14*12-I$88*12)=0,0,IF('進階假設'!$F$13=0,'進階假設'!$F$43*MAX(0,'進階假設'!$F$14*12-I$88*12)/('進階假設'!$F$14*12),'進階假設'!$F$44*(1-(1+'進階假設'!$F$13/12)^(-MAX(0,'進階假設'!$F$14*12-I$88*12)))/('進階假設'!$F$13/12)))</x:f>
        <x:v>2128111.6627502544</x:v>
      </x:c>
      <x:c r="J108" s="46" t="n">
        <x:f>IF(MAX(0,'進階假設'!$F$14*12-J$88*12)=0,0,IF('進階假設'!$F$13=0,'進階假設'!$F$43*MAX(0,'進階假設'!$F$14*12-J$88*12)/('進階假設'!$F$14*12),'進階假設'!$F$44*(1-(1+'進階假設'!$F$13/12)^(-MAX(0,'進階假設'!$F$14*12-J$88*12)))/('進階假設'!$F$13/12)))</x:f>
        <x:v>2003911.7090162174</x:v>
      </x:c>
      <x:c r="K108" s="46" t="n">
        <x:f>IF(MAX(0,'進階假設'!$F$14*12-K$88*12)=0,0,IF('進階假設'!$F$13=0,'進階假設'!$F$43*MAX(0,'進階假設'!$F$14*12-K$88*12)/('進階假設'!$F$14*12),'進階假設'!$F$44*(1-(1+'進階假設'!$F$13/12)^(-MAX(0,'進階假設'!$F$14*12-K$88*12)))/('進階假設'!$F$13/12)))</x:f>
        <x:v>1875934.0948407468</x:v>
      </x:c>
      <x:c r="L108" s="46" t="n">
        <x:f>IF(MAX(0,'進階假設'!$F$14*12-L$88*12)=0,0,IF('進階假設'!$F$13=0,'進階假設'!$F$43*MAX(0,'進階假設'!$F$14*12-L$88*12)/('進階假設'!$F$14*12),'進階假設'!$F$44*(1-(1+'進階假設'!$F$13/12)^(-MAX(0,'進階假設'!$F$14*12-L$88*12)))/('進階假設'!$F$13/12)))</x:f>
        <x:v>1744063.9190666215</x:v>
      </x:c>
      <x:c r="M108" s="46" t="n">
        <x:f>IF(MAX(0,'進階假設'!$F$14*12-M$88*12)=0,0,IF('進階假設'!$F$13=0,'進階假設'!$F$43*MAX(0,'進階假設'!$F$14*12-M$88*12)/('進階假設'!$F$14*12),'進階假設'!$F$44*(1-(1+'進階假設'!$F$13/12)^(-MAX(0,'進階假設'!$F$14*12-M$88*12)))/('進階假設'!$F$13/12)))</x:f>
        <x:v>1608182.7857079736</x:v>
      </x:c>
    </x:row>
    <x:row r="109" ht="23" customHeight="1">
      <x:c r="A109" s="2"/>
      <x:c r="B109" s="2" t="str">
        <x:v>已還本金</x:v>
      </x:c>
      <x:c r="C109" s="2"/>
      <x:c r="D109" s="35" t="n">
        <x:f>D106-D108</x:f>
        <x:v>103763.8270176053</x:v>
      </x:c>
      <x:c r="E109" s="35" t="n">
        <x:f>E106-E108</x:f>
        <x:v>106919.9031093088</x:v>
      </x:c>
      <x:c r="F109" s="35" t="n">
        <x:f>F106-F108</x:f>
        <x:v>110171.97427547816</x:v>
      </x:c>
      <x:c r="G109" s="35" t="n">
        <x:f>G106-G108</x:f>
        <x:v>113522.96029811678</x:v>
      </x:c>
      <x:c r="H109" s="35" t="n">
        <x:f>H106-H108</x:f>
        <x:v>116975.86976723839</x:v>
      </x:c>
      <x:c r="I109" s="35" t="n">
        <x:f>I106-I108</x:f>
        <x:v>120533.80278199818</x:v>
      </x:c>
      <x:c r="J109" s="35" t="n">
        <x:f>J106-J108</x:f>
        <x:v>124199.953734037</x:v>
      </x:c>
      <x:c r="K109" s="35" t="n">
        <x:f>K106-K108</x:f>
        <x:v>127977.61417547055</x:v>
      </x:c>
      <x:c r="L109" s="35" t="n">
        <x:f>L106-L108</x:f>
        <x:v>131870.17577412538</x:v>
      </x:c>
      <x:c r="M109" s="35" t="n">
        <x:f>M106-M108</x:f>
        <x:v>135881.1333586478</x:v>
      </x:c>
    </x:row>
    <x:row r="110" ht="23" customHeight="1">
      <x:c r="A110" s="2"/>
      <x:c r="B110" s="2" t="str">
        <x:v>利息支出</x:v>
      </x:c>
      <x:c r="C110" s="2"/>
      <x:c r="D110" s="35" t="n">
        <x:f>D107-D109</x:f>
        <x:v>82580.96586130915</x:v>
      </x:c>
      <x:c r="E110" s="35" t="n">
        <x:f>E107-E109</x:f>
        <x:v>79424.88976960565</x:v>
      </x:c>
      <x:c r="F110" s="35" t="n">
        <x:f>F107-F109</x:f>
        <x:v>76172.81860343629</x:v>
      </x:c>
      <x:c r="G110" s="35" t="n">
        <x:f>G107-G109</x:f>
        <x:v>72821.83258079767</x:v>
      </x:c>
      <x:c r="H110" s="35" t="n">
        <x:f>H107-H109</x:f>
        <x:v>69368.92311167606</x:v>
      </x:c>
      <x:c r="I110" s="35" t="n">
        <x:f>I107-I109</x:f>
        <x:v>65810.99009691627</x:v>
      </x:c>
      <x:c r="J110" s="35" t="n">
        <x:f>J107-J109</x:f>
        <x:v>62144.83914487745</x:v>
      </x:c>
      <x:c r="K110" s="35" t="n">
        <x:f>K107-K109</x:f>
        <x:v>58367.178703443904</x:v>
      </x:c>
      <x:c r="L110" s="35" t="n">
        <x:f>L107-L109</x:f>
        <x:v>54474.61710478907</x:v>
      </x:c>
      <x:c r="M110" s="35" t="n">
        <x:f>M107-M109</x:f>
        <x:v>50463.659520266636</x:v>
      </x:c>
    </x:row>
    <x:row r="111" ht="23" customHeight="1">
      <x:c r="A111" s="2"/>
      <x:c r="B111" s="27" t="str">
        <x:v>按揭供款後現金（稅前）</x:v>
      </x:c>
      <x:c r="C111" s="27"/>
      <x:c r="D111" s="49" t="n">
        <x:f>D102-D107</x:f>
        <x:v>-81177.29287891445</x:v>
      </x:c>
      <x:c r="E111" s="49" t="n">
        <x:f>E102-E107</x:f>
        <x:v>-38164.79287891445</x:v>
      </x:c>
      <x:c r="F111" s="49" t="n">
        <x:f>F102-F107</x:f>
        <x:v>-47177.29287891445</x:v>
      </x:c>
      <x:c r="G111" s="49" t="n">
        <x:f>G102-G107</x:f>
        <x:v>-38164.79287891445</x:v>
      </x:c>
      <x:c r="H111" s="49" t="n">
        <x:f>H102-H107</x:f>
        <x:v>-47177.29287891445</x:v>
      </x:c>
      <x:c r="I111" s="49" t="n">
        <x:f>I102-I107</x:f>
        <x:v>-38164.79287891445</x:v>
      </x:c>
      <x:c r="J111" s="49" t="n">
        <x:f>J102-J107</x:f>
        <x:v>-47177.29287891445</x:v>
      </x:c>
      <x:c r="K111" s="49" t="n">
        <x:f>K102-K107</x:f>
        <x:v>-38164.79287891445</x:v>
      </x:c>
      <x:c r="L111" s="49" t="n">
        <x:f>L102-L107</x:f>
        <x:v>-47177.29287891445</x:v>
      </x:c>
      <x:c r="M111" s="49" t="n">
        <x:f>M102-M107</x:f>
        <x:v>-38164.79287891445</x:v>
      </x:c>
    </x:row>
    <x:row r="112" ht="23" customHeight="1">
      <x:c r="A112" s="2"/>
      <x:c r="B112" s="27" t="str">
        <x:v>按揭供款後現金（稅後）</x:v>
      </x:c>
      <x:c r="C112" s="27"/>
      <x:c r="D112" s="49" t="n">
        <x:f>D105-D107</x:f>
        <x:v>-98313.29287891445</x:v>
      </x:c>
      <x:c r="E112" s="49" t="n">
        <x:f>E105-E107</x:f>
        <x:v>-59380.79287891445</x:v>
      </x:c>
      <x:c r="F112" s="49" t="n">
        <x:f>F105-F107</x:f>
        <x:v>-68393.29287891445</x:v>
      </x:c>
      <x:c r="G112" s="49" t="n">
        <x:f>G105-G107</x:f>
        <x:v>-59380.79287891445</x:v>
      </x:c>
      <x:c r="H112" s="49" t="n">
        <x:f>H105-H107</x:f>
        <x:v>-68393.29287891445</x:v>
      </x:c>
      <x:c r="I112" s="49" t="n">
        <x:f>I105-I107</x:f>
        <x:v>-59380.79287891445</x:v>
      </x:c>
      <x:c r="J112" s="49" t="n">
        <x:f>J105-J107</x:f>
        <x:v>-68393.29287891445</x:v>
      </x:c>
      <x:c r="K112" s="49" t="n">
        <x:f>K105-K107</x:f>
        <x:v>-59380.79287891445</x:v>
      </x:c>
      <x:c r="L112" s="49" t="n">
        <x:f>L105-L107</x:f>
        <x:v>-68393.29287891445</x:v>
      </x:c>
      <x:c r="M112" s="49" t="n">
        <x:f>M105-M107</x:f>
        <x:v>-59380.79287891445</x:v>
      </x:c>
    </x:row>
    <x:row r="113" ht="23" customHeight="1">
      <x:c r="A113" s="2"/>
      <x:c r="B113" s="2" t="str">
        <x:v>按年升跌估算的售價</x:v>
      </x:c>
      <x:c r="C113" s="2"/>
      <x:c r="D113" s="34" t="n">
        <x:f>'進階假設'!$F$7*(1+'進階假設'!$F$15)^D$88</x:f>
        <x:v>4148549.1573465928</x:v>
      </x:c>
      <x:c r="E113" s="34" t="n">
        <x:f>'進階假設'!$F$7*(1+'進階假設'!$F$15)^E$88</x:f>
        <x:v>4302615.027730281</x:v>
      </x:c>
      <x:c r="F113" s="34" t="n">
        <x:f>'進階假設'!$F$7*(1+'進階假設'!$F$15)^F$88</x:f>
        <x:v>4462402.486919311</x:v>
      </x:c>
      <x:c r="G113" s="34" t="n">
        <x:f>'進階假設'!$F$7*(1+'進階假設'!$F$15)^G$88</x:f>
        <x:v>4628124.019212612</x:v>
      </x:c>
      <x:c r="H113" s="34" t="n">
        <x:f>'進階假設'!$F$7*(1+'進階假設'!$F$15)^H$88</x:f>
        <x:v>4800000.000000002</x:v>
      </x:c>
      <x:c r="I113" s="34" t="n">
        <x:f>'進階假設'!$F$7*(1+'進階假設'!$F$15)^I$88</x:f>
        <x:v>4978258.988815913</x:v>
      </x:c>
      <x:c r="J113" s="34" t="n">
        <x:f>'進階假設'!$F$7*(1+'進階假設'!$F$15)^J$88</x:f>
        <x:v>5163138.033276339</x:v>
      </x:c>
      <x:c r="K113" s="34" t="n">
        <x:f>'進階假設'!$F$7*(1+'進階假設'!$F$15)^K$88</x:f>
        <x:v>5354882.984303175</x:v>
      </x:c>
      <x:c r="L113" s="34" t="n">
        <x:f>'進階假設'!$F$7*(1+'進階假設'!$F$15)^L$88</x:f>
        <x:v>5553748.823055136</x:v>
      </x:c>
      <x:c r="M113" s="34" t="n">
        <x:f>'進階假設'!$F$7*(1+'進階假設'!$F$15)^M$88</x:f>
        <x:v>5760000.000000005</x:v>
      </x:c>
    </x:row>
    <x:row r="114" ht="23" customHeight="1">
      <x:c r="A114" s="2"/>
      <x:c r="B114" s="2" t="str">
        <x:v>出售成本</x:v>
      </x:c>
      <x:c r="C114" s="2"/>
      <x:c r="D114" s="34" t="n">
        <x:f>D113*'進階假設'!$F$21+'進階假設'!$F$22</x:f>
        <x:v>56485.49157346593</x:v>
      </x:c>
      <x:c r="E114" s="34" t="n">
        <x:f>E113*'進階假設'!$F$21+'進階假設'!$F$22</x:f>
        <x:v>58026.15027730282</x:v>
      </x:c>
      <x:c r="F114" s="34" t="n">
        <x:f>F113*'進階假設'!$F$21+'進階假設'!$F$22</x:f>
        <x:v>59624.02486919311</x:v>
      </x:c>
      <x:c r="G114" s="34" t="n">
        <x:f>G113*'進階假設'!$F$21+'進階假設'!$F$22</x:f>
        <x:v>61281.24019212612</x:v>
      </x:c>
      <x:c r="H114" s="34" t="n">
        <x:f>H113*'進階假設'!$F$21+'進階假設'!$F$22</x:f>
        <x:v>63000.00000000002</x:v>
      </x:c>
      <x:c r="I114" s="34" t="n">
        <x:f>I113*'進階假設'!$F$21+'進階假設'!$F$22</x:f>
        <x:v>64782.58988815913</x:v>
      </x:c>
      <x:c r="J114" s="34" t="n">
        <x:f>J113*'進階假設'!$F$21+'進階假設'!$F$22</x:f>
        <x:v>66631.3803327634</x:v>
      </x:c>
      <x:c r="K114" s="34" t="n">
        <x:f>K113*'進階假設'!$F$21+'進階假設'!$F$22</x:f>
        <x:v>68548.82984303174</x:v>
      </x:c>
      <x:c r="L114" s="34" t="n">
        <x:f>L113*'進階假設'!$F$21+'進階假設'!$F$22</x:f>
        <x:v>70537.48823055136</x:v>
      </x:c>
      <x:c r="M114" s="34" t="n">
        <x:f>M113*'進階假設'!$F$21+'進階假設'!$F$22</x:f>
        <x:v>72600.00000000006</x:v>
      </x:c>
    </x:row>
    <x:row r="115" ht="23" customHeight="1">
      <x:c r="A115" s="2"/>
      <x:c r="B115" s="2" t="str">
        <x:v>出售淨回款（全現金）</x:v>
      </x:c>
      <x:c r="C115" s="2"/>
      <x:c r="D115" s="35" t="n">
        <x:f>D113-D114</x:f>
        <x:v>4092063.6657731268</x:v>
      </x:c>
      <x:c r="E115" s="35" t="n">
        <x:f>E113-E114</x:f>
        <x:v>4244588.877452979</x:v>
      </x:c>
      <x:c r="F115" s="35" t="n">
        <x:f>F113-F114</x:f>
        <x:v>4402778.462050118</x:v>
      </x:c>
      <x:c r="G115" s="35" t="n">
        <x:f>G113-G114</x:f>
        <x:v>4566842.7790204855</x:v>
      </x:c>
      <x:c r="H115" s="35" t="n">
        <x:f>H113-H114</x:f>
        <x:v>4737000.000000002</x:v>
      </x:c>
      <x:c r="I115" s="35" t="n">
        <x:f>I113-I114</x:f>
        <x:v>4913476.398927754</x:v>
      </x:c>
      <x:c r="J115" s="35" t="n">
        <x:f>J113-J114</x:f>
        <x:v>5096506.652943576</x:v>
      </x:c>
      <x:c r="K115" s="35" t="n">
        <x:f>K113-K114</x:f>
        <x:v>5286334.154460142</x:v>
      </x:c>
      <x:c r="L115" s="35" t="n">
        <x:f>L113-L114</x:f>
        <x:v>5483211.334824584</x:v>
      </x:c>
      <x:c r="M115" s="35" t="n">
        <x:f>M113-M114</x:f>
        <x:v>5687400.000000005</x:v>
      </x:c>
    </x:row>
    <x:row r="116" ht="23" customHeight="1">
      <x:c r="A116" s="2"/>
      <x:c r="B116" s="2" t="str">
        <x:v>清還費／退回回贈</x:v>
      </x:c>
      <x:c r="C116" s="2"/>
      <x:c r="D116" s="34" t="n">
        <x:f>IF(D108&gt;0.01,'進階假設'!$F$34,0)</x:f>
        <x:v>0</x:v>
      </x:c>
      <x:c r="E116" s="34" t="n">
        <x:f>IF(E108&gt;0.01,'進階假設'!$F$34,0)</x:f>
        <x:v>0</x:v>
      </x:c>
      <x:c r="F116" s="34" t="n">
        <x:f>IF(F108&gt;0.01,'進階假設'!$F$34,0)</x:f>
        <x:v>0</x:v>
      </x:c>
      <x:c r="G116" s="34" t="n">
        <x:f>IF(G108&gt;0.01,'進階假設'!$F$34,0)</x:f>
        <x:v>0</x:v>
      </x:c>
      <x:c r="H116" s="34" t="n">
        <x:f>IF(H108&gt;0.01,'進階假設'!$F$34,0)</x:f>
        <x:v>0</x:v>
      </x:c>
      <x:c r="I116" s="34" t="n">
        <x:f>IF(I108&gt;0.01,'進階假設'!$F$34,0)</x:f>
        <x:v>0</x:v>
      </x:c>
      <x:c r="J116" s="34" t="n">
        <x:f>IF(J108&gt;0.01,'進階假設'!$F$34,0)</x:f>
        <x:v>0</x:v>
      </x:c>
      <x:c r="K116" s="34" t="n">
        <x:f>IF(K108&gt;0.01,'進階假設'!$F$34,0)</x:f>
        <x:v>0</x:v>
      </x:c>
      <x:c r="L116" s="34" t="n">
        <x:f>IF(L108&gt;0.01,'進階假設'!$F$34,0)</x:f>
        <x:v>0</x:v>
      </x:c>
      <x:c r="M116" s="34" t="n">
        <x:f>IF(M108&gt;0.01,'進階假設'!$F$34,0)</x:f>
        <x:v>0</x:v>
      </x:c>
    </x:row>
    <x:row r="117" ht="23" customHeight="1">
      <x:c r="A117" s="2"/>
      <x:c r="B117" s="27" t="str">
        <x:v>出售淨回款（按揭）</x:v>
      </x:c>
      <x:c r="C117" s="27"/>
      <x:c r="D117" s="49" t="n">
        <x:f>D115-D108-D116</x:f>
        <x:v>1395827.492790732</x:v>
      </x:c>
      <x:c r="E117" s="49" t="n">
        <x:f>E115-E108-E116</x:f>
        <x:v>1655272.607579893</x:v>
      </x:c>
      <x:c r="F117" s="49" t="n">
        <x:f>F115-F108-F116</x:f>
        <x:v>1923634.1664525098</x:v>
      </x:c>
      <x:c r="G117" s="49" t="n">
        <x:f>G115-G108-G116</x:f>
        <x:v>2201221.4437209945</x:v>
      </x:c>
      <x:c r="H117" s="49" t="n">
        <x:f>H115-H108-H116</x:f>
        <x:v>2488354.5344677493</x:v>
      </x:c>
      <x:c r="I117" s="49" t="n">
        <x:f>I115-I108-I116</x:f>
        <x:v>2785364.7361774994</x:v>
      </x:c>
      <x:c r="J117" s="49" t="n">
        <x:f>J115-J108-J116</x:f>
        <x:v>3092594.9439273584</x:v>
      </x:c>
      <x:c r="K117" s="49" t="n">
        <x:f>K115-K108-K116</x:f>
        <x:v>3410400.0596193955</x:v>
      </x:c>
      <x:c r="L117" s="49" t="n">
        <x:f>L115-L108-L116</x:f>
        <x:v>3739147.415757963</x:v>
      </x:c>
      <x:c r="M117" s="49" t="n">
        <x:f>M115-M108-M116</x:f>
        <x:v>4079217.214292031</x:v>
      </x:c>
    </x:row>
    <x:row r="118" ht="23" customHeight="1">
      <x:c r="A118" s="2"/>
      <x:c r="B118" s="2"/>
      <x:c r="C118" s="2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</x:row>
    <x:row r="119" ht="23" customHeight="1">
      <x:c r="A119" s="2"/>
      <x:c r="B119" s="2"/>
      <x:c r="C119" s="2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</x:row>
    <x:row r="120" ht="23" customHeight="1">
      <x:c r="A120" s="2"/>
      <x:c r="B120" s="2"/>
      <x:c r="C120" s="2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</x:row>
    <x:row r="121" ht="24" customHeight="1">
      <x:c r="A121" s="2"/>
      <x:c r="B121" s="10" t="str">
        <x:v>3 年退出：用於 IRR／NPV 的現金流</x:v>
      </x:c>
      <x:c r="C121" s="10"/>
      <x:c r="D121" s="21"/>
      <x:c r="E121" s="21"/>
      <x:c r="F121" s="21"/>
      <x:c r="G121" s="21"/>
      <x:c r="H121" s="21"/>
      <x:c r="I121" s="21"/>
      <x:c r="J121" s="21"/>
      <x:c r="K121" s="21"/>
      <x:c r="L121" s="21"/>
      <x:c r="M121" s="21"/>
    </x:row>
    <x:row r="122" ht="23" customHeight="1">
      <x:c r="A122" s="2"/>
      <x:c r="B122" s="2" t="str">
        <x:v>現金稅前現金流</x:v>
      </x:c>
      <x:c r="C122" s="13" t="n">
        <x:f>-'進階假設'!$F$49</x:f>
        <x:v>-4355100</x:v>
      </x:c>
      <x:c r="D122" s="35" t="n">
        <x:f>IF(D$88&gt;3,0,D102+IF(D$88=3,D115,0))</x:f>
        <x:v>105167.5</x:v>
      </x:c>
      <x:c r="E122" s="35" t="n">
        <x:f>IF(E$88&gt;3,0,E102+IF(E$88=3,E115,0))</x:f>
        <x:v>148180</x:v>
      </x:c>
      <x:c r="F122" s="35" t="n">
        <x:f>IF(F$88&gt;3,0,F102+IF(F$88=3,F115,0))</x:f>
        <x:v>4541945.962050118</x:v>
      </x:c>
      <x:c r="G122" s="35" t="n">
        <x:f>IF(G$88&gt;3,0,G102+IF(G$88=3,G115,0))</x:f>
        <x:v>0</x:v>
      </x:c>
      <x:c r="H122" s="35" t="n">
        <x:f>IF(H$88&gt;3,0,H102+IF(H$88=3,H115,0))</x:f>
        <x:v>0</x:v>
      </x:c>
      <x:c r="I122" s="35" t="n">
        <x:f>IF(I$88&gt;3,0,I102+IF(I$88=3,I115,0))</x:f>
        <x:v>0</x:v>
      </x:c>
      <x:c r="J122" s="35" t="n">
        <x:f>IF(J$88&gt;3,0,J102+IF(J$88=3,J115,0))</x:f>
        <x:v>0</x:v>
      </x:c>
      <x:c r="K122" s="35" t="n">
        <x:f>IF(K$88&gt;3,0,K102+IF(K$88=3,K115,0))</x:f>
        <x:v>0</x:v>
      </x:c>
      <x:c r="L122" s="35" t="n">
        <x:f>IF(L$88&gt;3,0,L102+IF(L$88=3,L115,0))</x:f>
        <x:v>0</x:v>
      </x:c>
      <x:c r="M122" s="35" t="n">
        <x:f>IF(M$88&gt;3,0,M102+IF(M$88=3,M115,0))</x:f>
        <x:v>0</x:v>
      </x:c>
    </x:row>
    <x:row r="123" ht="23" customHeight="1">
      <x:c r="A123" s="2"/>
      <x:c r="B123" s="2" t="str">
        <x:v>現金稅後現金流</x:v>
      </x:c>
      <x:c r="C123" s="13" t="n">
        <x:f>-'進階假設'!$F$49</x:f>
        <x:v>-4355100</x:v>
      </x:c>
      <x:c r="D123" s="35" t="n">
        <x:f>IF(D$88&gt;3,0,D105+IF(D$88=3,D115,0))</x:f>
        <x:v>88031.5</x:v>
      </x:c>
      <x:c r="E123" s="35" t="n">
        <x:f>IF(E$88&gt;3,0,E105+IF(E$88=3,E115,0))</x:f>
        <x:v>126964</x:v>
      </x:c>
      <x:c r="F123" s="35" t="n">
        <x:f>IF(F$88&gt;3,0,F105+IF(F$88=3,F115,0))</x:f>
        <x:v>4520729.962050118</x:v>
      </x:c>
      <x:c r="G123" s="35" t="n">
        <x:f>IF(G$88&gt;3,0,G105+IF(G$88=3,G115,0))</x:f>
        <x:v>0</x:v>
      </x:c>
      <x:c r="H123" s="35" t="n">
        <x:f>IF(H$88&gt;3,0,H105+IF(H$88=3,H115,0))</x:f>
        <x:v>0</x:v>
      </x:c>
      <x:c r="I123" s="35" t="n">
        <x:f>IF(I$88&gt;3,0,I105+IF(I$88=3,I115,0))</x:f>
        <x:v>0</x:v>
      </x:c>
      <x:c r="J123" s="35" t="n">
        <x:f>IF(J$88&gt;3,0,J105+IF(J$88=3,J115,0))</x:f>
        <x:v>0</x:v>
      </x:c>
      <x:c r="K123" s="35" t="n">
        <x:f>IF(K$88&gt;3,0,K105+IF(K$88=3,K115,0))</x:f>
        <x:v>0</x:v>
      </x:c>
      <x:c r="L123" s="35" t="n">
        <x:f>IF(L$88&gt;3,0,L105+IF(L$88=3,L115,0))</x:f>
        <x:v>0</x:v>
      </x:c>
      <x:c r="M123" s="35" t="n">
        <x:f>IF(M$88&gt;3,0,M105+IF(M$88=3,M115,0))</x:f>
        <x:v>0</x:v>
      </x:c>
    </x:row>
    <x:row r="124" ht="23" customHeight="1">
      <x:c r="A124" s="2"/>
      <x:c r="B124" s="2" t="str">
        <x:v>按揭稅前現金流</x:v>
      </x:c>
      <x:c r="C124" s="13" t="n">
        <x:f>-'進階假設'!$F$50</x:f>
        <x:v>-1555100</x:v>
      </x:c>
      <x:c r="D124" s="35" t="n">
        <x:f>IF(D$88&gt;3,0,D111+IF(D$88=3,D117,0))</x:f>
        <x:v>-81177.29287891445</x:v>
      </x:c>
      <x:c r="E124" s="35" t="n">
        <x:f>IF(E$88&gt;3,0,E111+IF(E$88=3,E117,0))</x:f>
        <x:v>-38164.79287891445</x:v>
      </x:c>
      <x:c r="F124" s="35" t="n">
        <x:f>IF(F$88&gt;3,0,F111+IF(F$88=3,F117,0))</x:f>
        <x:v>1876456.8735735954</x:v>
      </x:c>
      <x:c r="G124" s="35" t="n">
        <x:f>IF(G$88&gt;3,0,G111+IF(G$88=3,G117,0))</x:f>
        <x:v>0</x:v>
      </x:c>
      <x:c r="H124" s="35" t="n">
        <x:f>IF(H$88&gt;3,0,H111+IF(H$88=3,H117,0))</x:f>
        <x:v>0</x:v>
      </x:c>
      <x:c r="I124" s="35" t="n">
        <x:f>IF(I$88&gt;3,0,I111+IF(I$88=3,I117,0))</x:f>
        <x:v>0</x:v>
      </x:c>
      <x:c r="J124" s="35" t="n">
        <x:f>IF(J$88&gt;3,0,J111+IF(J$88=3,J117,0))</x:f>
        <x:v>0</x:v>
      </x:c>
      <x:c r="K124" s="35" t="n">
        <x:f>IF(K$88&gt;3,0,K111+IF(K$88=3,K117,0))</x:f>
        <x:v>0</x:v>
      </x:c>
      <x:c r="L124" s="35" t="n">
        <x:f>IF(L$88&gt;3,0,L111+IF(L$88=3,L117,0))</x:f>
        <x:v>0</x:v>
      </x:c>
      <x:c r="M124" s="35" t="n">
        <x:f>IF(M$88&gt;3,0,M111+IF(M$88=3,M117,0))</x:f>
        <x:v>0</x:v>
      </x:c>
    </x:row>
    <x:row r="125" ht="23" customHeight="1">
      <x:c r="A125" s="2"/>
      <x:c r="B125" s="2" t="str">
        <x:v>按揭稅後現金流</x:v>
      </x:c>
      <x:c r="C125" s="13" t="n">
        <x:f>-'進階假設'!$F$50</x:f>
        <x:v>-1555100</x:v>
      </x:c>
      <x:c r="D125" s="35" t="n">
        <x:f>IF(D$88&gt;3,0,D112+IF(D$88=3,D117,0))</x:f>
        <x:v>-98313.29287891445</x:v>
      </x:c>
      <x:c r="E125" s="35" t="n">
        <x:f>IF(E$88&gt;3,0,E112+IF(E$88=3,E117,0))</x:f>
        <x:v>-59380.79287891445</x:v>
      </x:c>
      <x:c r="F125" s="35" t="n">
        <x:f>IF(F$88&gt;3,0,F112+IF(F$88=3,F117,0))</x:f>
        <x:v>1855240.8735735954</x:v>
      </x:c>
      <x:c r="G125" s="35" t="n">
        <x:f>IF(G$88&gt;3,0,G112+IF(G$88=3,G117,0))</x:f>
        <x:v>0</x:v>
      </x:c>
      <x:c r="H125" s="35" t="n">
        <x:f>IF(H$88&gt;3,0,H112+IF(H$88=3,H117,0))</x:f>
        <x:v>0</x:v>
      </x:c>
      <x:c r="I125" s="35" t="n">
        <x:f>IF(I$88&gt;3,0,I112+IF(I$88=3,I117,0))</x:f>
        <x:v>0</x:v>
      </x:c>
      <x:c r="J125" s="35" t="n">
        <x:f>IF(J$88&gt;3,0,J112+IF(J$88=3,J117,0))</x:f>
        <x:v>0</x:v>
      </x:c>
      <x:c r="K125" s="35" t="n">
        <x:f>IF(K$88&gt;3,0,K112+IF(K$88=3,K117,0))</x:f>
        <x:v>0</x:v>
      </x:c>
      <x:c r="L125" s="35" t="n">
        <x:f>IF(L$88&gt;3,0,L112+IF(L$88=3,L117,0))</x:f>
        <x:v>0</x:v>
      </x:c>
      <x:c r="M125" s="35" t="n">
        <x:f>IF(M$88&gt;3,0,M112+IF(M$88=3,M117,0))</x:f>
        <x:v>0</x:v>
      </x:c>
    </x:row>
    <x:row r="126" ht="23" customHeight="1">
      <x:c r="A126" s="2"/>
      <x:c r="B126" s="2" t="str">
        <x:v>現金稅前非零現金流方向</x:v>
      </x:c>
      <x:c r="C126" s="50" t="n">
        <x:f>SIGN(C122)</x:f>
        <x:v>-1</x:v>
      </x:c>
      <x:c r="D126" s="35" t="n">
        <x:f>IF(D122=0,C126,SIGN(D122))</x:f>
        <x:v>1</x:v>
      </x:c>
      <x:c r="E126" s="35" t="n">
        <x:f>IF(E122=0,D126,SIGN(E122))</x:f>
        <x:v>1</x:v>
      </x:c>
      <x:c r="F126" s="35" t="n">
        <x:f>IF(F122=0,E126,SIGN(F122))</x:f>
        <x:v>1</x:v>
      </x:c>
      <x:c r="G126" s="35" t="n">
        <x:f>IF(G122=0,F126,SIGN(G122))</x:f>
        <x:v>1</x:v>
      </x:c>
      <x:c r="H126" s="35" t="n">
        <x:f>IF(H122=0,G126,SIGN(H122))</x:f>
        <x:v>1</x:v>
      </x:c>
      <x:c r="I126" s="35" t="n">
        <x:f>IF(I122=0,H126,SIGN(I122))</x:f>
        <x:v>1</x:v>
      </x:c>
      <x:c r="J126" s="35" t="n">
        <x:f>IF(J122=0,I126,SIGN(J122))</x:f>
        <x:v>1</x:v>
      </x:c>
      <x:c r="K126" s="35" t="n">
        <x:f>IF(K122=0,J126,SIGN(K122))</x:f>
        <x:v>1</x:v>
      </x:c>
      <x:c r="L126" s="35" t="n">
        <x:f>IF(L122=0,K126,SIGN(L122))</x:f>
        <x:v>1</x:v>
      </x:c>
      <x:c r="M126" s="35" t="n">
        <x:f>IF(M122=0,L126,SIGN(M122))</x:f>
        <x:v>1</x:v>
      </x:c>
    </x:row>
    <x:row r="127" ht="23" customHeight="1">
      <x:c r="A127" s="2"/>
      <x:c r="B127" s="2" t="str">
        <x:v>現金稅後非零現金流方向</x:v>
      </x:c>
      <x:c r="C127" s="50" t="n">
        <x:f>SIGN(C123)</x:f>
        <x:v>-1</x:v>
      </x:c>
      <x:c r="D127" s="35" t="n">
        <x:f>IF(D123=0,C127,SIGN(D123))</x:f>
        <x:v>1</x:v>
      </x:c>
      <x:c r="E127" s="35" t="n">
        <x:f>IF(E123=0,D127,SIGN(E123))</x:f>
        <x:v>1</x:v>
      </x:c>
      <x:c r="F127" s="35" t="n">
        <x:f>IF(F123=0,E127,SIGN(F123))</x:f>
        <x:v>1</x:v>
      </x:c>
      <x:c r="G127" s="35" t="n">
        <x:f>IF(G123=0,F127,SIGN(G123))</x:f>
        <x:v>1</x:v>
      </x:c>
      <x:c r="H127" s="35" t="n">
        <x:f>IF(H123=0,G127,SIGN(H123))</x:f>
        <x:v>1</x:v>
      </x:c>
      <x:c r="I127" s="35" t="n">
        <x:f>IF(I123=0,H127,SIGN(I123))</x:f>
        <x:v>1</x:v>
      </x:c>
      <x:c r="J127" s="35" t="n">
        <x:f>IF(J123=0,I127,SIGN(J123))</x:f>
        <x:v>1</x:v>
      </x:c>
      <x:c r="K127" s="35" t="n">
        <x:f>IF(K123=0,J127,SIGN(K123))</x:f>
        <x:v>1</x:v>
      </x:c>
      <x:c r="L127" s="35" t="n">
        <x:f>IF(L123=0,K127,SIGN(L123))</x:f>
        <x:v>1</x:v>
      </x:c>
      <x:c r="M127" s="35" t="n">
        <x:f>IF(M123=0,L127,SIGN(M123))</x:f>
        <x:v>1</x:v>
      </x:c>
    </x:row>
    <x:row r="128" ht="23" customHeight="1">
      <x:c r="A128" s="2"/>
      <x:c r="B128" s="2" t="str">
        <x:v>按揭稅前非零現金流方向</x:v>
      </x:c>
      <x:c r="C128" s="50" t="n">
        <x:f>SIGN(C124)</x:f>
        <x:v>-1</x:v>
      </x:c>
      <x:c r="D128" s="35" t="n">
        <x:f>IF(D124=0,C128,SIGN(D124))</x:f>
        <x:v>-1</x:v>
      </x:c>
      <x:c r="E128" s="35" t="n">
        <x:f>IF(E124=0,D128,SIGN(E124))</x:f>
        <x:v>-1</x:v>
      </x:c>
      <x:c r="F128" s="35" t="n">
        <x:f>IF(F124=0,E128,SIGN(F124))</x:f>
        <x:v>1</x:v>
      </x:c>
      <x:c r="G128" s="35" t="n">
        <x:f>IF(G124=0,F128,SIGN(G124))</x:f>
        <x:v>1</x:v>
      </x:c>
      <x:c r="H128" s="35" t="n">
        <x:f>IF(H124=0,G128,SIGN(H124))</x:f>
        <x:v>1</x:v>
      </x:c>
      <x:c r="I128" s="35" t="n">
        <x:f>IF(I124=0,H128,SIGN(I124))</x:f>
        <x:v>1</x:v>
      </x:c>
      <x:c r="J128" s="35" t="n">
        <x:f>IF(J124=0,I128,SIGN(J124))</x:f>
        <x:v>1</x:v>
      </x:c>
      <x:c r="K128" s="35" t="n">
        <x:f>IF(K124=0,J128,SIGN(K124))</x:f>
        <x:v>1</x:v>
      </x:c>
      <x:c r="L128" s="35" t="n">
        <x:f>IF(L124=0,K128,SIGN(L124))</x:f>
        <x:v>1</x:v>
      </x:c>
      <x:c r="M128" s="35" t="n">
        <x:f>IF(M124=0,L128,SIGN(M124))</x:f>
        <x:v>1</x:v>
      </x:c>
    </x:row>
    <x:row r="129" ht="23" customHeight="1">
      <x:c r="A129" s="2"/>
      <x:c r="B129" s="2" t="str">
        <x:v>按揭稅後非零現金流方向</x:v>
      </x:c>
      <x:c r="C129" s="50" t="n">
        <x:f>SIGN(C125)</x:f>
        <x:v>-1</x:v>
      </x:c>
      <x:c r="D129" s="35" t="n">
        <x:f>IF(D125=0,C129,SIGN(D125))</x:f>
        <x:v>-1</x:v>
      </x:c>
      <x:c r="E129" s="35" t="n">
        <x:f>IF(E125=0,D129,SIGN(E125))</x:f>
        <x:v>-1</x:v>
      </x:c>
      <x:c r="F129" s="35" t="n">
        <x:f>IF(F125=0,E129,SIGN(F125))</x:f>
        <x:v>1</x:v>
      </x:c>
      <x:c r="G129" s="35" t="n">
        <x:f>IF(G125=0,F129,SIGN(G125))</x:f>
        <x:v>1</x:v>
      </x:c>
      <x:c r="H129" s="35" t="n">
        <x:f>IF(H125=0,G129,SIGN(H125))</x:f>
        <x:v>1</x:v>
      </x:c>
      <x:c r="I129" s="35" t="n">
        <x:f>IF(I125=0,H129,SIGN(I125))</x:f>
        <x:v>1</x:v>
      </x:c>
      <x:c r="J129" s="35" t="n">
        <x:f>IF(J125=0,I129,SIGN(J125))</x:f>
        <x:v>1</x:v>
      </x:c>
      <x:c r="K129" s="35" t="n">
        <x:f>IF(K125=0,J129,SIGN(K125))</x:f>
        <x:v>1</x:v>
      </x:c>
      <x:c r="L129" s="35" t="n">
        <x:f>IF(L125=0,K129,SIGN(L125))</x:f>
        <x:v>1</x:v>
      </x:c>
      <x:c r="M129" s="35" t="n">
        <x:f>IF(M125=0,L129,SIGN(M125))</x:f>
        <x:v>1</x:v>
      </x:c>
    </x:row>
    <x:row r="130" ht="23" customHeight="1">
      <x:c r="A130" s="2"/>
      <x:c r="B130" s="2"/>
      <x:c r="C130" s="2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</x:row>
    <x:row r="131" ht="23" customHeight="1">
      <x:c r="A131" s="2"/>
      <x:c r="B131" s="2"/>
      <x:c r="C131" s="2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</x:row>
    <x:row r="132" ht="23" customHeight="1">
      <x:c r="A132" s="2"/>
      <x:c r="B132" s="2"/>
      <x:c r="C132" s="2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</x:row>
    <x:row r="133" ht="23" customHeight="1">
      <x:c r="A133" s="2"/>
      <x:c r="B133" s="2"/>
      <x:c r="C133" s="2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</x:row>
    <x:row r="134" ht="24" customHeight="1">
      <x:c r="A134" s="2"/>
      <x:c r="B134" s="10" t="str">
        <x:v>5 年退出：用於 IRR／NPV 的現金流</x:v>
      </x:c>
      <x:c r="C134" s="10"/>
      <x:c r="D134" s="21"/>
      <x:c r="E134" s="21"/>
      <x:c r="F134" s="21"/>
      <x:c r="G134" s="21"/>
      <x:c r="H134" s="21"/>
      <x:c r="I134" s="21"/>
      <x:c r="J134" s="21"/>
      <x:c r="K134" s="21"/>
      <x:c r="L134" s="21"/>
      <x:c r="M134" s="21"/>
    </x:row>
    <x:row r="135" ht="23" customHeight="1">
      <x:c r="A135" s="2"/>
      <x:c r="B135" s="2" t="str">
        <x:v>現金稅前現金流</x:v>
      </x:c>
      <x:c r="C135" s="13" t="n">
        <x:f>-'進階假設'!$F$49</x:f>
        <x:v>-4355100</x:v>
      </x:c>
      <x:c r="D135" s="35" t="n">
        <x:f>IF(D$88&gt;5,0,D102+IF(D$88=5,D115,0))</x:f>
        <x:v>105167.5</x:v>
      </x:c>
      <x:c r="E135" s="35" t="n">
        <x:f>IF(E$88&gt;5,0,E102+IF(E$88=5,E115,0))</x:f>
        <x:v>148180</x:v>
      </x:c>
      <x:c r="F135" s="35" t="n">
        <x:f>IF(F$88&gt;5,0,F102+IF(F$88=5,F115,0))</x:f>
        <x:v>139167.5</x:v>
      </x:c>
      <x:c r="G135" s="35" t="n">
        <x:f>IF(G$88&gt;5,0,G102+IF(G$88=5,G115,0))</x:f>
        <x:v>148180</x:v>
      </x:c>
      <x:c r="H135" s="35" t="n">
        <x:f>IF(H$88&gt;5,0,H102+IF(H$88=5,H115,0))</x:f>
        <x:v>4876167.500000002</x:v>
      </x:c>
      <x:c r="I135" s="35" t="n">
        <x:f>IF(I$88&gt;5,0,I102+IF(I$88=5,I115,0))</x:f>
        <x:v>0</x:v>
      </x:c>
      <x:c r="J135" s="35" t="n">
        <x:f>IF(J$88&gt;5,0,J102+IF(J$88=5,J115,0))</x:f>
        <x:v>0</x:v>
      </x:c>
      <x:c r="K135" s="35" t="n">
        <x:f>IF(K$88&gt;5,0,K102+IF(K$88=5,K115,0))</x:f>
        <x:v>0</x:v>
      </x:c>
      <x:c r="L135" s="35" t="n">
        <x:f>IF(L$88&gt;5,0,L102+IF(L$88=5,L115,0))</x:f>
        <x:v>0</x:v>
      </x:c>
      <x:c r="M135" s="35" t="n">
        <x:f>IF(M$88&gt;5,0,M102+IF(M$88=5,M115,0))</x:f>
        <x:v>0</x:v>
      </x:c>
    </x:row>
    <x:row r="136" ht="23" customHeight="1">
      <x:c r="A136" s="2"/>
      <x:c r="B136" s="2" t="str">
        <x:v>現金稅後現金流</x:v>
      </x:c>
      <x:c r="C136" s="13" t="n">
        <x:f>-'進階假設'!$F$49</x:f>
        <x:v>-4355100</x:v>
      </x:c>
      <x:c r="D136" s="35" t="n">
        <x:f>IF(D$88&gt;5,0,D105+IF(D$88=5,D115,0))</x:f>
        <x:v>88031.5</x:v>
      </x:c>
      <x:c r="E136" s="35" t="n">
        <x:f>IF(E$88&gt;5,0,E105+IF(E$88=5,E115,0))</x:f>
        <x:v>126964</x:v>
      </x:c>
      <x:c r="F136" s="35" t="n">
        <x:f>IF(F$88&gt;5,0,F105+IF(F$88=5,F115,0))</x:f>
        <x:v>117951.5</x:v>
      </x:c>
      <x:c r="G136" s="35" t="n">
        <x:f>IF(G$88&gt;5,0,G105+IF(G$88=5,G115,0))</x:f>
        <x:v>126964</x:v>
      </x:c>
      <x:c r="H136" s="35" t="n">
        <x:f>IF(H$88&gt;5,0,H105+IF(H$88=5,H115,0))</x:f>
        <x:v>4854951.500000002</x:v>
      </x:c>
      <x:c r="I136" s="35" t="n">
        <x:f>IF(I$88&gt;5,0,I105+IF(I$88=5,I115,0))</x:f>
        <x:v>0</x:v>
      </x:c>
      <x:c r="J136" s="35" t="n">
        <x:f>IF(J$88&gt;5,0,J105+IF(J$88=5,J115,0))</x:f>
        <x:v>0</x:v>
      </x:c>
      <x:c r="K136" s="35" t="n">
        <x:f>IF(K$88&gt;5,0,K105+IF(K$88=5,K115,0))</x:f>
        <x:v>0</x:v>
      </x:c>
      <x:c r="L136" s="35" t="n">
        <x:f>IF(L$88&gt;5,0,L105+IF(L$88=5,L115,0))</x:f>
        <x:v>0</x:v>
      </x:c>
      <x:c r="M136" s="35" t="n">
        <x:f>IF(M$88&gt;5,0,M105+IF(M$88=5,M115,0))</x:f>
        <x:v>0</x:v>
      </x:c>
    </x:row>
    <x:row r="137" ht="23" customHeight="1">
      <x:c r="A137" s="2"/>
      <x:c r="B137" s="2" t="str">
        <x:v>按揭稅前現金流</x:v>
      </x:c>
      <x:c r="C137" s="13" t="n">
        <x:f>-'進階假設'!$F$50</x:f>
        <x:v>-1555100</x:v>
      </x:c>
      <x:c r="D137" s="35" t="n">
        <x:f>IF(D$88&gt;5,0,D111+IF(D$88=5,D117,0))</x:f>
        <x:v>-81177.29287891445</x:v>
      </x:c>
      <x:c r="E137" s="35" t="n">
        <x:f>IF(E$88&gt;5,0,E111+IF(E$88=5,E117,0))</x:f>
        <x:v>-38164.79287891445</x:v>
      </x:c>
      <x:c r="F137" s="35" t="n">
        <x:f>IF(F$88&gt;5,0,F111+IF(F$88=5,F117,0))</x:f>
        <x:v>-47177.29287891445</x:v>
      </x:c>
      <x:c r="G137" s="35" t="n">
        <x:f>IF(G$88&gt;5,0,G111+IF(G$88=5,G117,0))</x:f>
        <x:v>-38164.79287891445</x:v>
      </x:c>
      <x:c r="H137" s="35" t="n">
        <x:f>IF(H$88&gt;5,0,H111+IF(H$88=5,H117,0))</x:f>
        <x:v>2441177.2415888347</x:v>
      </x:c>
      <x:c r="I137" s="35" t="n">
        <x:f>IF(I$88&gt;5,0,I111+IF(I$88=5,I117,0))</x:f>
        <x:v>0</x:v>
      </x:c>
      <x:c r="J137" s="35" t="n">
        <x:f>IF(J$88&gt;5,0,J111+IF(J$88=5,J117,0))</x:f>
        <x:v>0</x:v>
      </x:c>
      <x:c r="K137" s="35" t="n">
        <x:f>IF(K$88&gt;5,0,K111+IF(K$88=5,K117,0))</x:f>
        <x:v>0</x:v>
      </x:c>
      <x:c r="L137" s="35" t="n">
        <x:f>IF(L$88&gt;5,0,L111+IF(L$88=5,L117,0))</x:f>
        <x:v>0</x:v>
      </x:c>
      <x:c r="M137" s="35" t="n">
        <x:f>IF(M$88&gt;5,0,M111+IF(M$88=5,M117,0))</x:f>
        <x:v>0</x:v>
      </x:c>
    </x:row>
    <x:row r="138" ht="23" customHeight="1">
      <x:c r="A138" s="2"/>
      <x:c r="B138" s="2" t="str">
        <x:v>按揭稅後現金流</x:v>
      </x:c>
      <x:c r="C138" s="13" t="n">
        <x:f>-'進階假設'!$F$50</x:f>
        <x:v>-1555100</x:v>
      </x:c>
      <x:c r="D138" s="35" t="n">
        <x:f>IF(D$88&gt;5,0,D112+IF(D$88=5,D117,0))</x:f>
        <x:v>-98313.29287891445</x:v>
      </x:c>
      <x:c r="E138" s="35" t="n">
        <x:f>IF(E$88&gt;5,0,E112+IF(E$88=5,E117,0))</x:f>
        <x:v>-59380.79287891445</x:v>
      </x:c>
      <x:c r="F138" s="35" t="n">
        <x:f>IF(F$88&gt;5,0,F112+IF(F$88=5,F117,0))</x:f>
        <x:v>-68393.29287891445</x:v>
      </x:c>
      <x:c r="G138" s="35" t="n">
        <x:f>IF(G$88&gt;5,0,G112+IF(G$88=5,G117,0))</x:f>
        <x:v>-59380.79287891445</x:v>
      </x:c>
      <x:c r="H138" s="35" t="n">
        <x:f>IF(H$88&gt;5,0,H112+IF(H$88=5,H117,0))</x:f>
        <x:v>2419961.2415888347</x:v>
      </x:c>
      <x:c r="I138" s="35" t="n">
        <x:f>IF(I$88&gt;5,0,I112+IF(I$88=5,I117,0))</x:f>
        <x:v>0</x:v>
      </x:c>
      <x:c r="J138" s="35" t="n">
        <x:f>IF(J$88&gt;5,0,J112+IF(J$88=5,J117,0))</x:f>
        <x:v>0</x:v>
      </x:c>
      <x:c r="K138" s="35" t="n">
        <x:f>IF(K$88&gt;5,0,K112+IF(K$88=5,K117,0))</x:f>
        <x:v>0</x:v>
      </x:c>
      <x:c r="L138" s="35" t="n">
        <x:f>IF(L$88&gt;5,0,L112+IF(L$88=5,L117,0))</x:f>
        <x:v>0</x:v>
      </x:c>
      <x:c r="M138" s="35" t="n">
        <x:f>IF(M$88&gt;5,0,M112+IF(M$88=5,M117,0))</x:f>
        <x:v>0</x:v>
      </x:c>
    </x:row>
    <x:row r="139" ht="23" customHeight="1">
      <x:c r="A139" s="2"/>
      <x:c r="B139" s="2" t="str">
        <x:v>現金稅前非零現金流方向</x:v>
      </x:c>
      <x:c r="C139" s="50" t="n">
        <x:f>SIGN(C135)</x:f>
        <x:v>-1</x:v>
      </x:c>
      <x:c r="D139" s="35" t="n">
        <x:f>IF(D135=0,C139,SIGN(D135))</x:f>
        <x:v>1</x:v>
      </x:c>
      <x:c r="E139" s="35" t="n">
        <x:f>IF(E135=0,D139,SIGN(E135))</x:f>
        <x:v>1</x:v>
      </x:c>
      <x:c r="F139" s="35" t="n">
        <x:f>IF(F135=0,E139,SIGN(F135))</x:f>
        <x:v>1</x:v>
      </x:c>
      <x:c r="G139" s="35" t="n">
        <x:f>IF(G135=0,F139,SIGN(G135))</x:f>
        <x:v>1</x:v>
      </x:c>
      <x:c r="H139" s="35" t="n">
        <x:f>IF(H135=0,G139,SIGN(H135))</x:f>
        <x:v>1</x:v>
      </x:c>
      <x:c r="I139" s="35" t="n">
        <x:f>IF(I135=0,H139,SIGN(I135))</x:f>
        <x:v>1</x:v>
      </x:c>
      <x:c r="J139" s="35" t="n">
        <x:f>IF(J135=0,I139,SIGN(J135))</x:f>
        <x:v>1</x:v>
      </x:c>
      <x:c r="K139" s="35" t="n">
        <x:f>IF(K135=0,J139,SIGN(K135))</x:f>
        <x:v>1</x:v>
      </x:c>
      <x:c r="L139" s="35" t="n">
        <x:f>IF(L135=0,K139,SIGN(L135))</x:f>
        <x:v>1</x:v>
      </x:c>
      <x:c r="M139" s="35" t="n">
        <x:f>IF(M135=0,L139,SIGN(M135))</x:f>
        <x:v>1</x:v>
      </x:c>
    </x:row>
    <x:row r="140" ht="23" customHeight="1">
      <x:c r="A140" s="2"/>
      <x:c r="B140" s="2" t="str">
        <x:v>現金稅後非零現金流方向</x:v>
      </x:c>
      <x:c r="C140" s="50" t="n">
        <x:f>SIGN(C136)</x:f>
        <x:v>-1</x:v>
      </x:c>
      <x:c r="D140" s="35" t="n">
        <x:f>IF(D136=0,C140,SIGN(D136))</x:f>
        <x:v>1</x:v>
      </x:c>
      <x:c r="E140" s="35" t="n">
        <x:f>IF(E136=0,D140,SIGN(E136))</x:f>
        <x:v>1</x:v>
      </x:c>
      <x:c r="F140" s="35" t="n">
        <x:f>IF(F136=0,E140,SIGN(F136))</x:f>
        <x:v>1</x:v>
      </x:c>
      <x:c r="G140" s="35" t="n">
        <x:f>IF(G136=0,F140,SIGN(G136))</x:f>
        <x:v>1</x:v>
      </x:c>
      <x:c r="H140" s="35" t="n">
        <x:f>IF(H136=0,G140,SIGN(H136))</x:f>
        <x:v>1</x:v>
      </x:c>
      <x:c r="I140" s="35" t="n">
        <x:f>IF(I136=0,H140,SIGN(I136))</x:f>
        <x:v>1</x:v>
      </x:c>
      <x:c r="J140" s="35" t="n">
        <x:f>IF(J136=0,I140,SIGN(J136))</x:f>
        <x:v>1</x:v>
      </x:c>
      <x:c r="K140" s="35" t="n">
        <x:f>IF(K136=0,J140,SIGN(K136))</x:f>
        <x:v>1</x:v>
      </x:c>
      <x:c r="L140" s="35" t="n">
        <x:f>IF(L136=0,K140,SIGN(L136))</x:f>
        <x:v>1</x:v>
      </x:c>
      <x:c r="M140" s="35" t="n">
        <x:f>IF(M136=0,L140,SIGN(M136))</x:f>
        <x:v>1</x:v>
      </x:c>
    </x:row>
    <x:row r="141" ht="23" customHeight="1">
      <x:c r="A141" s="2"/>
      <x:c r="B141" s="2" t="str">
        <x:v>按揭稅前非零現金流方向</x:v>
      </x:c>
      <x:c r="C141" s="50" t="n">
        <x:f>SIGN(C137)</x:f>
        <x:v>-1</x:v>
      </x:c>
      <x:c r="D141" s="35" t="n">
        <x:f>IF(D137=0,C141,SIGN(D137))</x:f>
        <x:v>-1</x:v>
      </x:c>
      <x:c r="E141" s="35" t="n">
        <x:f>IF(E137=0,D141,SIGN(E137))</x:f>
        <x:v>-1</x:v>
      </x:c>
      <x:c r="F141" s="35" t="n">
        <x:f>IF(F137=0,E141,SIGN(F137))</x:f>
        <x:v>-1</x:v>
      </x:c>
      <x:c r="G141" s="35" t="n">
        <x:f>IF(G137=0,F141,SIGN(G137))</x:f>
        <x:v>-1</x:v>
      </x:c>
      <x:c r="H141" s="35" t="n">
        <x:f>IF(H137=0,G141,SIGN(H137))</x:f>
        <x:v>1</x:v>
      </x:c>
      <x:c r="I141" s="35" t="n">
        <x:f>IF(I137=0,H141,SIGN(I137))</x:f>
        <x:v>1</x:v>
      </x:c>
      <x:c r="J141" s="35" t="n">
        <x:f>IF(J137=0,I141,SIGN(J137))</x:f>
        <x:v>1</x:v>
      </x:c>
      <x:c r="K141" s="35" t="n">
        <x:f>IF(K137=0,J141,SIGN(K137))</x:f>
        <x:v>1</x:v>
      </x:c>
      <x:c r="L141" s="35" t="n">
        <x:f>IF(L137=0,K141,SIGN(L137))</x:f>
        <x:v>1</x:v>
      </x:c>
      <x:c r="M141" s="35" t="n">
        <x:f>IF(M137=0,L141,SIGN(M137))</x:f>
        <x:v>1</x:v>
      </x:c>
    </x:row>
    <x:row r="142" ht="23" customHeight="1">
      <x:c r="A142" s="2"/>
      <x:c r="B142" s="2" t="str">
        <x:v>按揭稅後非零現金流方向</x:v>
      </x:c>
      <x:c r="C142" s="50" t="n">
        <x:f>SIGN(C138)</x:f>
        <x:v>-1</x:v>
      </x:c>
      <x:c r="D142" s="35" t="n">
        <x:f>IF(D138=0,C142,SIGN(D138))</x:f>
        <x:v>-1</x:v>
      </x:c>
      <x:c r="E142" s="35" t="n">
        <x:f>IF(E138=0,D142,SIGN(E138))</x:f>
        <x:v>-1</x:v>
      </x:c>
      <x:c r="F142" s="35" t="n">
        <x:f>IF(F138=0,E142,SIGN(F138))</x:f>
        <x:v>-1</x:v>
      </x:c>
      <x:c r="G142" s="35" t="n">
        <x:f>IF(G138=0,F142,SIGN(G138))</x:f>
        <x:v>-1</x:v>
      </x:c>
      <x:c r="H142" s="35" t="n">
        <x:f>IF(H138=0,G142,SIGN(H138))</x:f>
        <x:v>1</x:v>
      </x:c>
      <x:c r="I142" s="35" t="n">
        <x:f>IF(I138=0,H142,SIGN(I138))</x:f>
        <x:v>1</x:v>
      </x:c>
      <x:c r="J142" s="35" t="n">
        <x:f>IF(J138=0,I142,SIGN(J138))</x:f>
        <x:v>1</x:v>
      </x:c>
      <x:c r="K142" s="35" t="n">
        <x:f>IF(K138=0,J142,SIGN(K138))</x:f>
        <x:v>1</x:v>
      </x:c>
      <x:c r="L142" s="35" t="n">
        <x:f>IF(L138=0,K142,SIGN(L138))</x:f>
        <x:v>1</x:v>
      </x:c>
      <x:c r="M142" s="35" t="n">
        <x:f>IF(M138=0,L142,SIGN(M138))</x:f>
        <x:v>1</x:v>
      </x:c>
    </x:row>
    <x:row r="143" ht="23" customHeight="1">
      <x:c r="A143" s="2"/>
      <x:c r="B143" s="2"/>
      <x:c r="C143" s="2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</x:row>
    <x:row r="144" ht="23" customHeight="1">
      <x:c r="A144" s="2"/>
      <x:c r="B144" s="2"/>
      <x:c r="C144" s="2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</x:row>
    <x:row r="145" ht="23" customHeight="1">
      <x:c r="A145" s="2"/>
      <x:c r="B145" s="2"/>
      <x:c r="C145" s="2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</x:row>
    <x:row r="146" ht="23" customHeight="1">
      <x:c r="A146" s="2"/>
      <x:c r="B146" s="2"/>
      <x:c r="C146" s="2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</x:row>
    <x:row r="147" ht="24" customHeight="1">
      <x:c r="A147" s="2"/>
      <x:c r="B147" s="10" t="str">
        <x:v>10 年退出：用於 IRR／NPV 的現金流</x:v>
      </x:c>
      <x:c r="C147" s="10"/>
      <x:c r="D147" s="21"/>
      <x:c r="E147" s="21"/>
      <x:c r="F147" s="21"/>
      <x:c r="G147" s="21"/>
      <x:c r="H147" s="21"/>
      <x:c r="I147" s="21"/>
      <x:c r="J147" s="21"/>
      <x:c r="K147" s="21"/>
      <x:c r="L147" s="21"/>
      <x:c r="M147" s="21"/>
    </x:row>
    <x:row r="148" ht="23" customHeight="1">
      <x:c r="A148" s="2"/>
      <x:c r="B148" s="2" t="str">
        <x:v>現金稅前現金流</x:v>
      </x:c>
      <x:c r="C148" s="13" t="n">
        <x:f>-'進階假設'!$F$49</x:f>
        <x:v>-4355100</x:v>
      </x:c>
      <x:c r="D148" s="35" t="n">
        <x:f>IF(D$88&gt;10,0,D102+IF(D$88=10,D115,0))</x:f>
        <x:v>105167.5</x:v>
      </x:c>
      <x:c r="E148" s="35" t="n">
        <x:f>IF(E$88&gt;10,0,E102+IF(E$88=10,E115,0))</x:f>
        <x:v>148180</x:v>
      </x:c>
      <x:c r="F148" s="35" t="n">
        <x:f>IF(F$88&gt;10,0,F102+IF(F$88=10,F115,0))</x:f>
        <x:v>139167.5</x:v>
      </x:c>
      <x:c r="G148" s="35" t="n">
        <x:f>IF(G$88&gt;10,0,G102+IF(G$88=10,G115,0))</x:f>
        <x:v>148180</x:v>
      </x:c>
      <x:c r="H148" s="35" t="n">
        <x:f>IF(H$88&gt;10,0,H102+IF(H$88=10,H115,0))</x:f>
        <x:v>139167.5</x:v>
      </x:c>
      <x:c r="I148" s="35" t="n">
        <x:f>IF(I$88&gt;10,0,I102+IF(I$88=10,I115,0))</x:f>
        <x:v>148180</x:v>
      </x:c>
      <x:c r="J148" s="35" t="n">
        <x:f>IF(J$88&gt;10,0,J102+IF(J$88=10,J115,0))</x:f>
        <x:v>139167.5</x:v>
      </x:c>
      <x:c r="K148" s="35" t="n">
        <x:f>IF(K$88&gt;10,0,K102+IF(K$88=10,K115,0))</x:f>
        <x:v>148180</x:v>
      </x:c>
      <x:c r="L148" s="35" t="n">
        <x:f>IF(L$88&gt;10,0,L102+IF(L$88=10,L115,0))</x:f>
        <x:v>139167.5</x:v>
      </x:c>
      <x:c r="M148" s="35" t="n">
        <x:f>IF(M$88&gt;10,0,M102+IF(M$88=10,M115,0))</x:f>
        <x:v>5835580.000000005</x:v>
      </x:c>
    </x:row>
    <x:row r="149" ht="23" customHeight="1">
      <x:c r="A149" s="2"/>
      <x:c r="B149" s="2" t="str">
        <x:v>現金稅後現金流</x:v>
      </x:c>
      <x:c r="C149" s="13" t="n">
        <x:f>-'進階假設'!$F$49</x:f>
        <x:v>-4355100</x:v>
      </x:c>
      <x:c r="D149" s="35" t="n">
        <x:f>IF(D$88&gt;10,0,D105+IF(D$88=10,D115,0))</x:f>
        <x:v>88031.5</x:v>
      </x:c>
      <x:c r="E149" s="35" t="n">
        <x:f>IF(E$88&gt;10,0,E105+IF(E$88=10,E115,0))</x:f>
        <x:v>126964</x:v>
      </x:c>
      <x:c r="F149" s="35" t="n">
        <x:f>IF(F$88&gt;10,0,F105+IF(F$88=10,F115,0))</x:f>
        <x:v>117951.5</x:v>
      </x:c>
      <x:c r="G149" s="35" t="n">
        <x:f>IF(G$88&gt;10,0,G105+IF(G$88=10,G115,0))</x:f>
        <x:v>126964</x:v>
      </x:c>
      <x:c r="H149" s="35" t="n">
        <x:f>IF(H$88&gt;10,0,H105+IF(H$88=10,H115,0))</x:f>
        <x:v>117951.5</x:v>
      </x:c>
      <x:c r="I149" s="35" t="n">
        <x:f>IF(I$88&gt;10,0,I105+IF(I$88=10,I115,0))</x:f>
        <x:v>126964</x:v>
      </x:c>
      <x:c r="J149" s="35" t="n">
        <x:f>IF(J$88&gt;10,0,J105+IF(J$88=10,J115,0))</x:f>
        <x:v>117951.5</x:v>
      </x:c>
      <x:c r="K149" s="35" t="n">
        <x:f>IF(K$88&gt;10,0,K105+IF(K$88=10,K115,0))</x:f>
        <x:v>126964</x:v>
      </x:c>
      <x:c r="L149" s="35" t="n">
        <x:f>IF(L$88&gt;10,0,L105+IF(L$88=10,L115,0))</x:f>
        <x:v>117951.5</x:v>
      </x:c>
      <x:c r="M149" s="35" t="n">
        <x:f>IF(M$88&gt;10,0,M105+IF(M$88=10,M115,0))</x:f>
        <x:v>5814364.000000005</x:v>
      </x:c>
    </x:row>
    <x:row r="150" ht="23" customHeight="1">
      <x:c r="A150" s="2"/>
      <x:c r="B150" s="2" t="str">
        <x:v>按揭稅前現金流</x:v>
      </x:c>
      <x:c r="C150" s="13" t="n">
        <x:f>-'進階假設'!$F$50</x:f>
        <x:v>-1555100</x:v>
      </x:c>
      <x:c r="D150" s="35" t="n">
        <x:f>IF(D$88&gt;10,0,D111+IF(D$88=10,D117,0))</x:f>
        <x:v>-81177.29287891445</x:v>
      </x:c>
      <x:c r="E150" s="35" t="n">
        <x:f>IF(E$88&gt;10,0,E111+IF(E$88=10,E117,0))</x:f>
        <x:v>-38164.79287891445</x:v>
      </x:c>
      <x:c r="F150" s="35" t="n">
        <x:f>IF(F$88&gt;10,0,F111+IF(F$88=10,F117,0))</x:f>
        <x:v>-47177.29287891445</x:v>
      </x:c>
      <x:c r="G150" s="35" t="n">
        <x:f>IF(G$88&gt;10,0,G111+IF(G$88=10,G117,0))</x:f>
        <x:v>-38164.79287891445</x:v>
      </x:c>
      <x:c r="H150" s="35" t="n">
        <x:f>IF(H$88&gt;10,0,H111+IF(H$88=10,H117,0))</x:f>
        <x:v>-47177.29287891445</x:v>
      </x:c>
      <x:c r="I150" s="35" t="n">
        <x:f>IF(I$88&gt;10,0,I111+IF(I$88=10,I117,0))</x:f>
        <x:v>-38164.79287891445</x:v>
      </x:c>
      <x:c r="J150" s="35" t="n">
        <x:f>IF(J$88&gt;10,0,J111+IF(J$88=10,J117,0))</x:f>
        <x:v>-47177.29287891445</x:v>
      </x:c>
      <x:c r="K150" s="35" t="n">
        <x:f>IF(K$88&gt;10,0,K111+IF(K$88=10,K117,0))</x:f>
        <x:v>-38164.79287891445</x:v>
      </x:c>
      <x:c r="L150" s="35" t="n">
        <x:f>IF(L$88&gt;10,0,L111+IF(L$88=10,L117,0))</x:f>
        <x:v>-47177.29287891445</x:v>
      </x:c>
      <x:c r="M150" s="35" t="n">
        <x:f>IF(M$88&gt;10,0,M111+IF(M$88=10,M117,0))</x:f>
        <x:v>4041052.421413116</x:v>
      </x:c>
    </x:row>
    <x:row r="151" ht="23" customHeight="1">
      <x:c r="A151" s="2"/>
      <x:c r="B151" s="2" t="str">
        <x:v>按揭稅後現金流</x:v>
      </x:c>
      <x:c r="C151" s="13" t="n">
        <x:f>-'進階假設'!$F$50</x:f>
        <x:v>-1555100</x:v>
      </x:c>
      <x:c r="D151" s="35" t="n">
        <x:f>IF(D$88&gt;10,0,D112+IF(D$88=10,D117,0))</x:f>
        <x:v>-98313.29287891445</x:v>
      </x:c>
      <x:c r="E151" s="35" t="n">
        <x:f>IF(E$88&gt;10,0,E112+IF(E$88=10,E117,0))</x:f>
        <x:v>-59380.79287891445</x:v>
      </x:c>
      <x:c r="F151" s="35" t="n">
        <x:f>IF(F$88&gt;10,0,F112+IF(F$88=10,F117,0))</x:f>
        <x:v>-68393.29287891445</x:v>
      </x:c>
      <x:c r="G151" s="35" t="n">
        <x:f>IF(G$88&gt;10,0,G112+IF(G$88=10,G117,0))</x:f>
        <x:v>-59380.79287891445</x:v>
      </x:c>
      <x:c r="H151" s="35" t="n">
        <x:f>IF(H$88&gt;10,0,H112+IF(H$88=10,H117,0))</x:f>
        <x:v>-68393.29287891445</x:v>
      </x:c>
      <x:c r="I151" s="35" t="n">
        <x:f>IF(I$88&gt;10,0,I112+IF(I$88=10,I117,0))</x:f>
        <x:v>-59380.79287891445</x:v>
      </x:c>
      <x:c r="J151" s="35" t="n">
        <x:f>IF(J$88&gt;10,0,J112+IF(J$88=10,J117,0))</x:f>
        <x:v>-68393.29287891445</x:v>
      </x:c>
      <x:c r="K151" s="35" t="n">
        <x:f>IF(K$88&gt;10,0,K112+IF(K$88=10,K117,0))</x:f>
        <x:v>-59380.79287891445</x:v>
      </x:c>
      <x:c r="L151" s="35" t="n">
        <x:f>IF(L$88&gt;10,0,L112+IF(L$88=10,L117,0))</x:f>
        <x:v>-68393.29287891445</x:v>
      </x:c>
      <x:c r="M151" s="35" t="n">
        <x:f>IF(M$88&gt;10,0,M112+IF(M$88=10,M117,0))</x:f>
        <x:v>4019836.421413116</x:v>
      </x:c>
    </x:row>
    <x:row r="152" ht="23" customHeight="1">
      <x:c r="A152" s="2"/>
      <x:c r="B152" s="2" t="str">
        <x:v>現金稅前非零現金流方向</x:v>
      </x:c>
      <x:c r="C152" s="50" t="n">
        <x:f>SIGN(C148)</x:f>
        <x:v>-1</x:v>
      </x:c>
      <x:c r="D152" s="35" t="n">
        <x:f>IF(D148=0,C152,SIGN(D148))</x:f>
        <x:v>1</x:v>
      </x:c>
      <x:c r="E152" s="35" t="n">
        <x:f>IF(E148=0,D152,SIGN(E148))</x:f>
        <x:v>1</x:v>
      </x:c>
      <x:c r="F152" s="35" t="n">
        <x:f>IF(F148=0,E152,SIGN(F148))</x:f>
        <x:v>1</x:v>
      </x:c>
      <x:c r="G152" s="35" t="n">
        <x:f>IF(G148=0,F152,SIGN(G148))</x:f>
        <x:v>1</x:v>
      </x:c>
      <x:c r="H152" s="35" t="n">
        <x:f>IF(H148=0,G152,SIGN(H148))</x:f>
        <x:v>1</x:v>
      </x:c>
      <x:c r="I152" s="35" t="n">
        <x:f>IF(I148=0,H152,SIGN(I148))</x:f>
        <x:v>1</x:v>
      </x:c>
      <x:c r="J152" s="35" t="n">
        <x:f>IF(J148=0,I152,SIGN(J148))</x:f>
        <x:v>1</x:v>
      </x:c>
      <x:c r="K152" s="35" t="n">
        <x:f>IF(K148=0,J152,SIGN(K148))</x:f>
        <x:v>1</x:v>
      </x:c>
      <x:c r="L152" s="35" t="n">
        <x:f>IF(L148=0,K152,SIGN(L148))</x:f>
        <x:v>1</x:v>
      </x:c>
      <x:c r="M152" s="35" t="n">
        <x:f>IF(M148=0,L152,SIGN(M148))</x:f>
        <x:v>1</x:v>
      </x:c>
    </x:row>
    <x:row r="153" ht="23" customHeight="1">
      <x:c r="A153" s="2"/>
      <x:c r="B153" s="2" t="str">
        <x:v>現金稅後非零現金流方向</x:v>
      </x:c>
      <x:c r="C153" s="50" t="n">
        <x:f>SIGN(C149)</x:f>
        <x:v>-1</x:v>
      </x:c>
      <x:c r="D153" s="35" t="n">
        <x:f>IF(D149=0,C153,SIGN(D149))</x:f>
        <x:v>1</x:v>
      </x:c>
      <x:c r="E153" s="35" t="n">
        <x:f>IF(E149=0,D153,SIGN(E149))</x:f>
        <x:v>1</x:v>
      </x:c>
      <x:c r="F153" s="35" t="n">
        <x:f>IF(F149=0,E153,SIGN(F149))</x:f>
        <x:v>1</x:v>
      </x:c>
      <x:c r="G153" s="35" t="n">
        <x:f>IF(G149=0,F153,SIGN(G149))</x:f>
        <x:v>1</x:v>
      </x:c>
      <x:c r="H153" s="35" t="n">
        <x:f>IF(H149=0,G153,SIGN(H149))</x:f>
        <x:v>1</x:v>
      </x:c>
      <x:c r="I153" s="35" t="n">
        <x:f>IF(I149=0,H153,SIGN(I149))</x:f>
        <x:v>1</x:v>
      </x:c>
      <x:c r="J153" s="35" t="n">
        <x:f>IF(J149=0,I153,SIGN(J149))</x:f>
        <x:v>1</x:v>
      </x:c>
      <x:c r="K153" s="35" t="n">
        <x:f>IF(K149=0,J153,SIGN(K149))</x:f>
        <x:v>1</x:v>
      </x:c>
      <x:c r="L153" s="35" t="n">
        <x:f>IF(L149=0,K153,SIGN(L149))</x:f>
        <x:v>1</x:v>
      </x:c>
      <x:c r="M153" s="35" t="n">
        <x:f>IF(M149=0,L153,SIGN(M149))</x:f>
        <x:v>1</x:v>
      </x:c>
    </x:row>
    <x:row r="154" ht="23" customHeight="1">
      <x:c r="A154" s="2"/>
      <x:c r="B154" s="2" t="str">
        <x:v>按揭稅前非零現金流方向</x:v>
      </x:c>
      <x:c r="C154" s="50" t="n">
        <x:f>SIGN(C150)</x:f>
        <x:v>-1</x:v>
      </x:c>
      <x:c r="D154" s="35" t="n">
        <x:f>IF(D150=0,C154,SIGN(D150))</x:f>
        <x:v>-1</x:v>
      </x:c>
      <x:c r="E154" s="35" t="n">
        <x:f>IF(E150=0,D154,SIGN(E150))</x:f>
        <x:v>-1</x:v>
      </x:c>
      <x:c r="F154" s="35" t="n">
        <x:f>IF(F150=0,E154,SIGN(F150))</x:f>
        <x:v>-1</x:v>
      </x:c>
      <x:c r="G154" s="35" t="n">
        <x:f>IF(G150=0,F154,SIGN(G150))</x:f>
        <x:v>-1</x:v>
      </x:c>
      <x:c r="H154" s="35" t="n">
        <x:f>IF(H150=0,G154,SIGN(H150))</x:f>
        <x:v>-1</x:v>
      </x:c>
      <x:c r="I154" s="35" t="n">
        <x:f>IF(I150=0,H154,SIGN(I150))</x:f>
        <x:v>-1</x:v>
      </x:c>
      <x:c r="J154" s="35" t="n">
        <x:f>IF(J150=0,I154,SIGN(J150))</x:f>
        <x:v>-1</x:v>
      </x:c>
      <x:c r="K154" s="35" t="n">
        <x:f>IF(K150=0,J154,SIGN(K150))</x:f>
        <x:v>-1</x:v>
      </x:c>
      <x:c r="L154" s="35" t="n">
        <x:f>IF(L150=0,K154,SIGN(L150))</x:f>
        <x:v>-1</x:v>
      </x:c>
      <x:c r="M154" s="35" t="n">
        <x:f>IF(M150=0,L154,SIGN(M150))</x:f>
        <x:v>1</x:v>
      </x:c>
    </x:row>
    <x:row r="155" ht="23" customHeight="1">
      <x:c r="A155" s="2"/>
      <x:c r="B155" s="2" t="str">
        <x:v>按揭稅後非零現金流方向</x:v>
      </x:c>
      <x:c r="C155" s="50" t="n">
        <x:f>SIGN(C151)</x:f>
        <x:v>-1</x:v>
      </x:c>
      <x:c r="D155" s="35" t="n">
        <x:f>IF(D151=0,C155,SIGN(D151))</x:f>
        <x:v>-1</x:v>
      </x:c>
      <x:c r="E155" s="35" t="n">
        <x:f>IF(E151=0,D155,SIGN(E151))</x:f>
        <x:v>-1</x:v>
      </x:c>
      <x:c r="F155" s="35" t="n">
        <x:f>IF(F151=0,E155,SIGN(F151))</x:f>
        <x:v>-1</x:v>
      </x:c>
      <x:c r="G155" s="35" t="n">
        <x:f>IF(G151=0,F155,SIGN(G151))</x:f>
        <x:v>-1</x:v>
      </x:c>
      <x:c r="H155" s="35" t="n">
        <x:f>IF(H151=0,G155,SIGN(H151))</x:f>
        <x:v>-1</x:v>
      </x:c>
      <x:c r="I155" s="35" t="n">
        <x:f>IF(I151=0,H155,SIGN(I151))</x:f>
        <x:v>-1</x:v>
      </x:c>
      <x:c r="J155" s="35" t="n">
        <x:f>IF(J151=0,I155,SIGN(J151))</x:f>
        <x:v>-1</x:v>
      </x:c>
      <x:c r="K155" s="35" t="n">
        <x:f>IF(K151=0,J155,SIGN(K151))</x:f>
        <x:v>-1</x:v>
      </x:c>
      <x:c r="L155" s="35" t="n">
        <x:f>IF(L151=0,K155,SIGN(L151))</x:f>
        <x:v>-1</x:v>
      </x:c>
      <x:c r="M155" s="35" t="n">
        <x:f>IF(M151=0,L155,SIGN(M151))</x:f>
        <x:v>1</x:v>
      </x:c>
    </x:row>
    <x:row r="156" ht="23" customHeight="1">
      <x:c r="A156" s="2"/>
      <x:c r="B156" s="2"/>
      <x:c r="C156" s="2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</x:row>
    <x:row r="157" ht="23" customHeight="1">
      <x:c r="A157" s="2"/>
      <x:c r="B157" s="2"/>
      <x:c r="C157" s="2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</x:row>
    <x:row r="158" ht="23" customHeight="1">
      <x:c r="A158" s="2"/>
      <x:c r="B158" s="2"/>
      <x:c r="C158" s="2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</x:row>
    <x:row r="159" ht="23" customHeight="1">
      <x:c r="A159" s="2"/>
      <x:c r="B159" s="2"/>
      <x:c r="C159" s="2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</x:row>
    <x:row r="160" ht="23" customHeight="1">
      <x:c r="A160" s="2"/>
      <x:c r="B160" s="2"/>
      <x:c r="C160" s="2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</x:row>
    <x:row r="161" ht="23" customHeight="1">
      <x:c r="A161" s="2"/>
      <x:c r="B161" s="2"/>
      <x:c r="C161" s="2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</x:row>
    <x:row r="162" ht="23" customHeight="1">
      <x:c r="A162" s="2"/>
      <x:c r="B162" s="2"/>
      <x:c r="C162" s="2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</x:row>
    <x:row r="163" ht="23" customHeight="1">
      <x:c r="A163" s="2"/>
      <x:c r="B163" s="2"/>
      <x:c r="C163" s="2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</x:row>
    <x:row r="164" ht="23" customHeight="1">
      <x:c r="A164" s="2"/>
      <x:c r="B164" s="2"/>
      <x:c r="C164" s="2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</x:row>
    <x:row r="165" ht="23" customHeight="1">
      <x:c r="A165" s="2"/>
      <x:c r="B165" s="2"/>
      <x:c r="C165" s="2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</x:row>
    <x:row r="166" ht="23" customHeight="1">
      <x:c r="A166" s="2"/>
      <x:c r="B166" s="2"/>
      <x:c r="C166" s="2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</x:row>
    <x:row r="167" ht="23" customHeight="1">
      <x:c r="A167" s="2"/>
      <x:c r="B167" s="2"/>
      <x:c r="C167" s="2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6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93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32" customHeight="1">
      <x:c r="A2" s="2"/>
      <x:c r="B2" s="5" t="str">
        <x:v>來源與稅表</x:v>
      </x:c>
      <x:c r="C2" s="6"/>
      <x:c r="D2" s="6"/>
      <x:c r="E2" s="6"/>
      <x:c r="F2" s="6"/>
      <x:c r="G2" s="6"/>
    </x:row>
    <x:row r="3" ht="23" customHeight="1">
      <x:c r="A3" s="2"/>
      <x:c r="B3" s="7" t="str">
        <x:v>規則於 2026-09-20 核對。只適用普通香港住宅買賣及固定月租租約，未含特殊豁免。</x:v>
      </x:c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2"/>
      <x:c r="B6" s="25" t="str">
        <x:v>項目</x:v>
      </x:c>
      <x:c r="C6" s="25" t="str">
        <x:v>版本／生效日</x:v>
      </x:c>
      <x:c r="D6" s="22"/>
      <x:c r="E6" s="22"/>
      <x:c r="F6" s="22"/>
      <x:c r="G6" s="22" t="str">
        <x:v>來源</x:v>
      </x:c>
    </x:row>
    <x:row r="7" ht="37" customHeight="1">
      <x:c r="A7" s="2"/>
      <x:c r="B7" s="2" t="str">
        <x:v>住宅 AVD</x:v>
      </x:c>
      <x:c r="C7" s="2" t="str">
        <x:v>2026-02-26</x:v>
      </x:c>
      <x:c r="D7" s="3"/>
      <x:c r="E7" s="3"/>
      <x:c r="F7" s="3"/>
      <x:c r="G7" s="53" t="str">
        <x:v>https://www.gov.hk/en/residents/taxes/stamp/stamp_duty_rates.htm</x:v>
      </x:c>
    </x:row>
    <x:row r="8" ht="37" customHeight="1">
      <x:c r="A8" s="2"/>
      <x:c r="B8" s="2" t="str">
        <x:v>租約印花</x:v>
      </x:c>
      <x:c r="C8" s="2" t="str">
        <x:v>IRSD119(E) 2024-09</x:v>
      </x:c>
      <x:c r="D8" s="3"/>
      <x:c r="E8" s="3"/>
      <x:c r="F8" s="3"/>
      <x:c r="G8" s="53" t="str">
        <x:v>https://www.ird.gov.hk/eng/pdf/irsd119.pdf</x:v>
      </x:c>
    </x:row>
    <x:row r="9" ht="37" customHeight="1">
      <x:c r="A9" s="2"/>
      <x:c r="B9" s="2" t="str">
        <x:v>住宅累進差餉</x:v>
      </x:c>
      <x:c r="C9" s="2" t="str">
        <x:v>2025-01-01</x:v>
      </x:c>
      <x:c r="D9" s="3"/>
      <x:c r="E9" s="3"/>
      <x:c r="F9" s="3"/>
      <x:c r="G9" s="53" t="str">
        <x:v>https://www.rvd.gov.hk/en/progressive_rating_system.html</x:v>
      </x:c>
    </x:row>
    <x:row r="10" ht="37" customHeight="1">
      <x:c r="A10" s="2"/>
      <x:c r="B10" s="2"/>
      <x:c r="C10" s="2"/>
      <x:c r="D10" s="3"/>
      <x:c r="E10" s="3"/>
      <x:c r="F10" s="3"/>
      <x:c r="G10" s="53"/>
    </x:row>
    <x:row r="11" ht="37" customHeight="1">
      <x:c r="A11" s="2"/>
      <x:c r="B11" s="25" t="str">
        <x:v>計稅值上限</x:v>
      </x:c>
      <x:c r="C11" s="25" t="str">
        <x:v>公式底額</x:v>
      </x:c>
      <x:c r="D11" s="22" t="str">
        <x:v>公式起點</x:v>
      </x:c>
      <x:c r="E11" s="22" t="str">
        <x:v>稅率</x:v>
      </x:c>
      <x:c r="F11" s="22" t="str">
        <x:v>稅額向上整元</x:v>
      </x:c>
      <x:c r="G11" s="53"/>
    </x:row>
    <x:row r="12" ht="37" customHeight="1">
      <x:c r="A12" s="2"/>
      <x:c r="B12" s="3" t="n">
        <x:v>4000000</x:v>
      </x:c>
      <x:c r="C12" s="3" t="n">
        <x:v>100</x:v>
      </x:c>
      <x:c r="D12" s="3" t="n">
        <x:v>0</x:v>
      </x:c>
      <x:c r="E12" s="30" t="n">
        <x:v>0</x:v>
      </x:c>
      <x:c r="F12" s="3"/>
      <x:c r="G12" s="53" t="str">
        <x:v>AVD＝底額＋（計稅值−起點）×稅率。計稅值取代價與物業價值較高者。</x:v>
      </x:c>
    </x:row>
    <x:row r="13" ht="37" customHeight="1">
      <x:c r="A13" s="2"/>
      <x:c r="B13" s="3" t="n">
        <x:v>4323780</x:v>
      </x:c>
      <x:c r="C13" s="3" t="n">
        <x:v>100</x:v>
      </x:c>
      <x:c r="D13" s="3" t="n">
        <x:v>4000000</x:v>
      </x:c>
      <x:c r="E13" s="30" t="n">
        <x:v>0.2</x:v>
      </x:c>
      <x:c r="F13" s="3"/>
      <x:c r="G13" s="53"/>
    </x:row>
    <x:row r="14" ht="37" customHeight="1">
      <x:c r="A14" s="2"/>
      <x:c r="B14" s="3" t="n">
        <x:v>4500000</x:v>
      </x:c>
      <x:c r="C14" s="3" t="n">
        <x:v>0</x:v>
      </x:c>
      <x:c r="D14" s="3" t="n">
        <x:v>0</x:v>
      </x:c>
      <x:c r="E14" s="30" t="n">
        <x:v>0.015</x:v>
      </x:c>
      <x:c r="F14" s="3"/>
      <x:c r="G14" s="53" t="str">
        <x:v>適用 2026-02-26 起住宅文書；不自動判斷特殊交易、歷史日期、份額轉讓或豁免。</x:v>
      </x:c>
    </x:row>
    <x:row r="15" ht="37" customHeight="1">
      <x:c r="A15" s="2"/>
      <x:c r="B15" s="3" t="n">
        <x:v>4935480</x:v>
      </x:c>
      <x:c r="C15" s="3" t="n">
        <x:v>67500</x:v>
      </x:c>
      <x:c r="D15" s="3" t="n">
        <x:v>4500000</x:v>
      </x:c>
      <x:c r="E15" s="30" t="n">
        <x:v>0.1</x:v>
      </x:c>
      <x:c r="F15" s="3"/>
      <x:c r="G15" s="53"/>
    </x:row>
    <x:row r="16" ht="37" customHeight="1">
      <x:c r="A16" s="2"/>
      <x:c r="B16" s="3" t="n">
        <x:v>6000000</x:v>
      </x:c>
      <x:c r="C16" s="3" t="n">
        <x:v>0</x:v>
      </x:c>
      <x:c r="D16" s="3" t="n">
        <x:v>0</x:v>
      </x:c>
      <x:c r="E16" s="30" t="n">
        <x:v>0.0225</x:v>
      </x:c>
      <x:c r="F16" s="3"/>
      <x:c r="G16" s="53" t="str">
        <x:v>AVD 不把物業價值先整百。租約稅基須先向上整百，再把稅款向上整元。</x:v>
      </x:c>
    </x:row>
    <x:row r="17" ht="37" customHeight="1">
      <x:c r="A17" s="2"/>
      <x:c r="B17" s="3" t="n">
        <x:v>6642860</x:v>
      </x:c>
      <x:c r="C17" s="3" t="n">
        <x:v>135000</x:v>
      </x:c>
      <x:c r="D17" s="3" t="n">
        <x:v>6000000</x:v>
      </x:c>
      <x:c r="E17" s="30" t="n">
        <x:v>0.1</x:v>
      </x:c>
      <x:c r="F17" s="3"/>
      <x:c r="G17" s="53"/>
    </x:row>
    <x:row r="18" ht="37" customHeight="1">
      <x:c r="A18" s="2"/>
      <x:c r="B18" s="3" t="n">
        <x:v>9000000</x:v>
      </x:c>
      <x:c r="C18" s="3" t="n">
        <x:v>0</x:v>
      </x:c>
      <x:c r="D18" s="3" t="n">
        <x:v>0</x:v>
      </x:c>
      <x:c r="E18" s="30" t="n">
        <x:v>0.03</x:v>
      </x:c>
      <x:c r="F18" s="3"/>
      <x:c r="G18" s="53" t="str">
        <x:v>副本每份 MIN($5, 正本稅額)；2016 官方附表支持低於 $5 例外。</x:v>
      </x:c>
    </x:row>
    <x:row r="19" ht="37" customHeight="1">
      <x:c r="A19" s="2"/>
      <x:c r="B19" s="3" t="n">
        <x:v>10080000</x:v>
      </x:c>
      <x:c r="C19" s="3" t="n">
        <x:v>270000</x:v>
      </x:c>
      <x:c r="D19" s="3" t="n">
        <x:v>9000000</x:v>
      </x:c>
      <x:c r="E19" s="30" t="n">
        <x:v>0.1</x:v>
      </x:c>
      <x:c r="F19" s="3"/>
      <x:c r="G19" s="53" t="str">
        <x:v>https://www.legco.gov.hk/yr15-16/chinese/bills/brief/b201601151_brf.pdf</x:v>
      </x:c>
    </x:row>
    <x:row r="20" ht="37" customHeight="1">
      <x:c r="A20" s="2"/>
      <x:c r="B20" s="3" t="n">
        <x:v>20000000</x:v>
      </x:c>
      <x:c r="C20" s="3" t="n">
        <x:v>0</x:v>
      </x:c>
      <x:c r="D20" s="3" t="n">
        <x:v>0</x:v>
      </x:c>
      <x:c r="E20" s="30" t="n">
        <x:v>0.0375</x:v>
      </x:c>
      <x:c r="F20" s="3"/>
      <x:c r="G20" s="53" t="str">
        <x:v>現行摘要只列 $5；本次未逐頁核對 2026 合併法例全文。特殊減免不包括在模型內。</x:v>
      </x:c>
    </x:row>
    <x:row r="21" ht="37" customHeight="1">
      <x:c r="A21" s="2"/>
      <x:c r="B21" s="3" t="n">
        <x:v>21739120</x:v>
      </x:c>
      <x:c r="C21" s="3" t="n">
        <x:v>750000</x:v>
      </x:c>
      <x:c r="D21" s="3" t="n">
        <x:v>20000000</x:v>
      </x:c>
      <x:c r="E21" s="30" t="n">
        <x:v>0.1</x:v>
      </x:c>
      <x:c r="F21" s="3"/>
      <x:c r="G21" s="53"/>
    </x:row>
    <x:row r="22" ht="37" customHeight="1">
      <x:c r="A22" s="2"/>
      <x:c r="B22" s="3" t="n">
        <x:v>100000000</x:v>
      </x:c>
      <x:c r="C22" s="3" t="n">
        <x:v>0</x:v>
      </x:c>
      <x:c r="D22" s="3" t="n">
        <x:v>0</x:v>
      </x:c>
      <x:c r="E22" s="30" t="n">
        <x:v>0.0425</x:v>
      </x:c>
      <x:c r="F22" s="3"/>
      <x:c r="G22" s="53"/>
    </x:row>
    <x:row r="23" ht="37" customHeight="1">
      <x:c r="A23" s="2"/>
      <x:c r="B23" s="3" t="n">
        <x:v>109574470</x:v>
      </x:c>
      <x:c r="C23" s="3" t="n">
        <x:v>4250000</x:v>
      </x:c>
      <x:c r="D23" s="3" t="n">
        <x:v>100000000</x:v>
      </x:c>
      <x:c r="E23" s="30" t="n">
        <x:v>0.3</x:v>
      </x:c>
      <x:c r="F23" s="3"/>
      <x:c r="G23" s="53"/>
    </x:row>
    <x:row r="24" ht="37" customHeight="1">
      <x:c r="A24" s="2"/>
      <x:c r="B24" s="3" t="str">
        <x:v>以上</x:v>
      </x:c>
      <x:c r="C24" s="3" t="n">
        <x:v>0</x:v>
      </x:c>
      <x:c r="D24" s="3" t="n">
        <x:v>0</x:v>
      </x:c>
      <x:c r="E24" s="30" t="n">
        <x:v>0.065</x:v>
      </x:c>
      <x:c r="F24" s="3"/>
      <x:c r="G24" s="53"/>
    </x:row>
    <x:row r="25" ht="37" customHeight="1">
      <x:c r="A25" s="2"/>
      <x:c r="B25" s="2"/>
      <x:c r="C25" s="2"/>
      <x:c r="D25" s="3"/>
      <x:c r="E25" s="3"/>
      <x:c r="F25" s="3"/>
      <x:c r="G25" s="53"/>
    </x:row>
    <x:row r="26" ht="37" customHeight="1">
      <x:c r="A26" s="2"/>
      <x:c r="B26" s="2"/>
      <x:c r="C26" s="2"/>
      <x:c r="D26" s="3"/>
      <x:c r="E26" s="3"/>
      <x:c r="F26" s="3"/>
      <x:c r="G26" s="53"/>
    </x:row>
    <x:row r="27" ht="37" customHeight="1">
      <x:c r="A27" s="2"/>
      <x:c r="B27" s="2"/>
      <x:c r="C27" s="2"/>
      <x:c r="D27" s="3"/>
      <x:c r="E27" s="3"/>
      <x:c r="F27" s="3"/>
      <x:c r="G27" s="53"/>
    </x:row>
    <x:row r="28" ht="37" customHeight="1">
      <x:c r="A28" s="2"/>
      <x:c r="B28" s="10" t="str">
        <x:v>租約與稅項常數</x:v>
      </x:c>
      <x:c r="C28" s="10"/>
      <x:c r="D28" s="21"/>
      <x:c r="E28" s="21"/>
      <x:c r="F28" s="21"/>
      <x:c r="G28" s="54"/>
    </x:row>
    <x:row r="29" ht="37" customHeight="1">
      <x:c r="A29" s="2"/>
      <x:c r="B29" s="2"/>
      <x:c r="C29" s="2"/>
      <x:c r="D29" s="3"/>
      <x:c r="E29" s="3"/>
      <x:c r="F29" s="3"/>
      <x:c r="G29" s="53"/>
    </x:row>
    <x:row r="30" ht="37" customHeight="1">
      <x:c r="A30" s="2"/>
      <x:c r="B30" s="2" t="str">
        <x:v>租期不超過 12 個月</x:v>
      </x:c>
      <x:c r="C30" s="2" t="str">
        <x:v>總租金</x:v>
      </x:c>
      <x:c r="D30" s="30" t="n">
        <x:v>0.0025</x:v>
      </x:c>
      <x:c r="E30" s="3"/>
      <x:c r="F30" s="3"/>
      <x:c r="G30" s="53"/>
    </x:row>
    <x:row r="31" ht="37" customHeight="1">
      <x:c r="A31" s="2"/>
      <x:c r="B31" s="2" t="str">
        <x:v>超過 12 至 36 個月</x:v>
      </x:c>
      <x:c r="C31" s="2" t="str">
        <x:v>平均年租</x:v>
      </x:c>
      <x:c r="D31" s="30" t="n">
        <x:v>0.005</x:v>
      </x:c>
      <x:c r="E31" s="3"/>
      <x:c r="F31" s="3"/>
      <x:c r="G31" s="53"/>
    </x:row>
    <x:row r="32" ht="37" customHeight="1">
      <x:c r="A32" s="2"/>
      <x:c r="B32" s="2" t="str">
        <x:v>超過 36 個月</x:v>
      </x:c>
      <x:c r="C32" s="2" t="str">
        <x:v>平均年租</x:v>
      </x:c>
      <x:c r="D32" s="30" t="n">
        <x:v>0.01</x:v>
      </x:c>
      <x:c r="E32" s="3"/>
      <x:c r="F32" s="3"/>
      <x:c r="G32" s="53"/>
    </x:row>
    <x:row r="33" ht="37" customHeight="1">
      <x:c r="A33" s="2"/>
      <x:c r="B33" s="2" t="str">
        <x:v>副本通常上限</x:v>
      </x:c>
      <x:c r="C33" s="2" t="str">
        <x:v>HKD</x:v>
      </x:c>
      <x:c r="D33" s="3" t="n">
        <x:v>5</x:v>
      </x:c>
      <x:c r="E33" s="3"/>
      <x:c r="F33" s="3"/>
      <x:c r="G33" s="53"/>
    </x:row>
    <x:row r="34" ht="37" customHeight="1">
      <x:c r="A34" s="2"/>
      <x:c r="B34" s="2" t="str">
        <x:v>普通物業稅率</x:v>
      </x:c>
      <x:c r="C34" s="2" t="str">
        <x:v>2025/26、2026/27</x:v>
      </x:c>
      <x:c r="D34" s="30" t="n">
        <x:v>0.15</x:v>
      </x:c>
      <x:c r="E34" s="3"/>
      <x:c r="F34" s="3"/>
      <x:c r="G34" s="53" t="str">
        <x:v>https://www.ird.gov.hk/eng/faq/pty.htm</x:v>
      </x:c>
    </x:row>
    <x:row r="35" ht="37" customHeight="1">
      <x:c r="A35" s="2"/>
      <x:c r="B35" s="2" t="str">
        <x:v>法定修葺支出扣減</x:v>
      </x:c>
      <x:c r="C35" s="2" t="str">
        <x:v>租金減可扣差餉後</x:v>
      </x:c>
      <x:c r="D35" s="30" t="n">
        <x:v>0.2</x:v>
      </x:c>
      <x:c r="E35" s="3"/>
      <x:c r="F35" s="3"/>
      <x:c r="G35" s="53" t="str">
        <x:v>管理費、地租、裝修、維修、佣金、保險及按揭利息不能在普通物業稅下另逐項扣除。</x:v>
      </x:c>
    </x:row>
    <x:row r="36" ht="23" customHeight="1">
      <x:c r="A36" s="2"/>
      <x:c r="B36" s="2"/>
      <x:c r="C36" s="2"/>
      <x:c r="D36" s="3"/>
      <x:c r="E36" s="3"/>
      <x:c r="F36" s="3"/>
      <x:c r="G36" s="3"/>
    </x:row>
    <x:row r="37" ht="23" customHeight="1">
      <x:c r="A37" s="2"/>
      <x:c r="B37" s="2"/>
      <x:c r="C37" s="2"/>
      <x:c r="D37" s="3"/>
      <x:c r="E37" s="3"/>
      <x:c r="F37" s="3"/>
      <x:c r="G37" s="3"/>
    </x:row>
    <x:row r="38" ht="24" customHeight="1">
      <x:c r="A38" s="2"/>
      <x:c r="B38" s="10" t="str">
        <x:v>模型口徑與限制</x:v>
      </x:c>
      <x:c r="C38" s="10"/>
      <x:c r="D38" s="21"/>
      <x:c r="E38" s="21"/>
      <x:c r="F38" s="21"/>
      <x:c r="G38" s="21"/>
    </x:row>
    <x:row r="39" ht="23" customHeight="1">
      <x:c r="A39" s="2"/>
      <x:c r="B39" s="2"/>
      <x:c r="C39" s="2"/>
      <x:c r="D39" s="3"/>
      <x:c r="E39" s="3"/>
      <x:c r="F39" s="3"/>
      <x:c r="G39" s="3"/>
    </x:row>
    <x:row r="40" ht="28" customHeight="1">
      <x:c r="A40" s="2"/>
      <x:c r="B40" s="2" t="str">
        <x:v>時間</x:v>
      </x:c>
      <x:c r="C40" s="55" t="str">
        <x:v>買入為第 0 年，營運現金與稅款近似年末。使用年度 IRR，不是按實際日期的 XIRR。</x:v>
      </x:c>
      <x:c r="D40" s="3"/>
      <x:c r="E40" s="3"/>
      <x:c r="F40" s="3"/>
      <x:c r="G40" s="3"/>
    </x:row>
    <x:row r="41" ht="28" customHeight="1">
      <x:c r="A41" s="2"/>
      <x:c r="B41" s="2" t="str">
        <x:v>預算來源</x:v>
      </x:c>
      <x:c r="C41" s="55" t="str">
        <x:v>主要價格、租金、裝修及其他成本沿用舊 A／B 保存值，沒有指定單位的最新報價支持。</x:v>
      </x:c>
      <x:c r="D41" s="3"/>
      <x:c r="E41" s="3"/>
      <x:c r="F41" s="3"/>
      <x:c r="G41" s="3"/>
    </x:row>
    <x:row r="42" ht="28" customHeight="1">
      <x:c r="A42" s="2"/>
      <x:c r="B42" s="2" t="str">
        <x:v>RV 估算</x:v>
      </x:c>
      <x:c r="C42" s="55" t="str">
        <x:v>新版預設月租 × 12，只為減少輸入；正式差餉租值未必等於合約年租。</x:v>
      </x:c>
      <x:c r="D42" s="3"/>
      <x:c r="E42" s="3"/>
      <x:c r="F42" s="3"/>
      <x:c r="G42" s="3"/>
    </x:row>
    <x:row r="43" ht="28" customHeight="1">
      <x:c r="A43" s="2"/>
      <x:c r="B43" s="2" t="str">
        <x:v>自動租約</x:v>
      </x:c>
      <x:c r="C43" s="55" t="str">
        <x:v>預設 24 個月租期。首次從首年無租期後開始；續約按固定月數。空置不延後固定續約節奏。</x:v>
      </x:c>
      <x:c r="D43" s="3"/>
      <x:c r="E43" s="3"/>
      <x:c r="F43" s="3"/>
      <x:c r="G43" s="3"/>
    </x:row>
    <x:row r="44" ht="28" customHeight="1">
      <x:c r="A44" s="2"/>
      <x:c r="B44" s="2" t="str">
        <x:v>佣金</x:v>
      </x:c>
      <x:c r="C44" s="55" t="str">
        <x:v>預設每份新簽／續約付一次佣金；實際免佣續約可把該年付佣次數覆蓋為 0，印花仍照付。</x:v>
      </x:c>
      <x:c r="D44" s="3"/>
      <x:c r="E44" s="3"/>
      <x:c r="F44" s="3"/>
      <x:c r="G44" s="3"/>
    </x:row>
    <x:row r="45" ht="28" customHeight="1">
      <x:c r="A45" s="2"/>
      <x:c r="B45" s="2" t="str">
        <x:v>租約免租</x:v>
      </x:c>
      <x:c r="C45" s="55" t="str">
        <x:v>只降低印花稅基。實收租金由每年無租月數另計，避免重複扣租。</x:v>
      </x:c>
      <x:c r="D45" s="3"/>
      <x:c r="E45" s="3"/>
      <x:c r="F45" s="3"/>
      <x:c r="G45" s="3"/>
    </x:row>
    <x:row r="46" ht="28" customHeight="1">
      <x:c r="A46" s="2"/>
      <x:c r="B46" s="2" t="str">
        <x:v>大修支出</x:v>
      </x:c>
      <x:c r="C46" s="55" t="str">
        <x:v>預設 0＝未估，非風險為零。已知工程或付予法團的特別集資按付款年列「額外工程」，勿重複計算。</x:v>
      </x:c>
      <x:c r="D46" s="3"/>
      <x:c r="E46" s="3"/>
      <x:c r="F46" s="3"/>
      <x:c r="G46" s="3"/>
    </x:row>
    <x:row r="47" ht="28" customHeight="1">
      <x:c r="A47" s="2"/>
      <x:c r="B47" s="2" t="str">
        <x:v>稅務</x:v>
      </x:c>
      <x:c r="C47" s="55" t="str">
        <x:v>普通個人物業稅；不含個人入息課稅、公司持有、暫繳稅時間或出售盈利稅。</x:v>
      </x:c>
      <x:c r="D47" s="3"/>
      <x:c r="E47" s="3"/>
      <x:c r="F47" s="3"/>
      <x:c r="G47" s="3"/>
    </x:row>
    <x:row r="48" ht="28" customHeight="1">
      <x:c r="A48" s="2"/>
      <x:c r="B48" s="2" t="str">
        <x:v>比較門檻</x:v>
      </x:c>
      <x:c r="C48" s="55" t="str">
        <x:v>淨現值與追平門檻售價按稅前股本現金流。未完成外匯、換匯費用及投資者稅後對齊。</x:v>
      </x:c>
      <x:c r="D48" s="3"/>
      <x:c r="E48" s="3"/>
      <x:c r="F48" s="3"/>
      <x:c r="G48" s="3"/>
    </x:row>
    <x:row r="49" ht="28" customHeight="1">
      <x:c r="A49" s="2"/>
      <x:c r="B49" s="2" t="str">
        <x:v>IRR</x:v>
      </x:c>
      <x:c r="C49" s="55" t="str">
        <x:v>現金流恰好一次轉號才顯示 IRR；多次轉號或無法求解時顯示文字並保留淨現值。</x:v>
      </x:c>
      <x:c r="D49" s="3"/>
      <x:c r="E49" s="3"/>
      <x:c r="F49" s="3"/>
      <x:c r="G49" s="3"/>
    </x:row>
    <x:row r="50" ht="28" customHeight="1">
      <x:c r="A50" s="2"/>
      <x:c r="B50" s="2" t="str">
        <x:v>未包括</x:v>
      </x:c>
      <x:c r="C50" s="55" t="str">
        <x:v>租務訴訟、欠租、工時、售樓延期、未來稅率變動、不定期租約、頂手費或特殊豁免。</x:v>
      </x:c>
      <x:c r="D50" s="3"/>
      <x:c r="E50" s="3"/>
      <x:c r="F50" s="3"/>
      <x:c r="G50" s="3"/>
    </x:row>
    <x:row r="51" ht="28" customHeight="1">
      <x:c r="A51" s="2"/>
      <x:c r="B51" s="2" t="str">
        <x:v>版本</x:v>
      </x:c>
      <x:c r="C51" s="55" t="str">
        <x:v>2026-09-20 大修預設改為 0（未估）；自行留在戶口的備用金未花掉前，不列支出或出售退款。</x:v>
      </x:c>
      <x:c r="D51" s="3"/>
      <x:c r="E51" s="3"/>
      <x:c r="F51" s="3"/>
      <x:c r="G51" s="3"/>
    </x:row>
    <x:row r="52" ht="28" customHeight="1">
      <x:c r="A52" s="2"/>
      <x:c r="B52" s="2" t="str">
        <x:v>長期假設</x:v>
      </x:c>
      <x:c r="C52" s="55" t="str">
        <x:v>10 年內租金、RV、管理、維修及其他年度費用增長率均為 0%，是簡化假設而非確定結果。</x:v>
      </x:c>
      <x:c r="D52" s="3"/>
      <x:c r="E52" s="3"/>
      <x:c r="F52" s="3"/>
      <x:c r="G52" s="3"/>
    </x:row>
    <x:row r="53" ht="23" customHeight="1">
      <x:c r="A53" s="2"/>
      <x:c r="B53" s="2"/>
      <x:c r="C53" s="2"/>
      <x:c r="D53" s="3"/>
      <x:c r="E53" s="3"/>
      <x:c r="F53" s="3"/>
      <x:c r="G53" s="3"/>
    </x:row>
    <x:row r="54" ht="23" customHeight="1">
      <x:c r="A54" s="2"/>
      <x:c r="B54" s="2"/>
      <x:c r="C54" s="2"/>
      <x:c r="D54" s="3"/>
      <x:c r="E54" s="3"/>
      <x:c r="F54" s="3"/>
      <x:c r="G54" s="3"/>
    </x:row>
    <x:row r="55" ht="23" customHeight="1">
      <x:c r="A55" s="2"/>
      <x:c r="B55" s="2"/>
      <x:c r="C55" s="2"/>
      <x:c r="D55" s="3"/>
      <x:c r="E55" s="3"/>
      <x:c r="F55" s="3"/>
      <x:c r="G55" s="3"/>
    </x:row>
    <x:row r="56" ht="23" customHeight="1">
      <x:c r="A56" s="2"/>
      <x:c r="B56" s="2"/>
      <x:c r="C56" s="2"/>
      <x:c r="D56" s="3"/>
      <x:c r="E56" s="3"/>
      <x:c r="F56" s="3"/>
      <x:c r="G56" s="3"/>
    </x:row>
    <x:row r="57" ht="23" customHeight="1">
      <x:c r="A57" s="2"/>
      <x:c r="B57" s="2"/>
      <x:c r="C57" s="2"/>
      <x:c r="D57" s="3"/>
      <x:c r="E57" s="3"/>
      <x:c r="F57" s="3"/>
      <x:c r="G57" s="3"/>
    </x:row>
    <x:row r="58" ht="23" customHeight="1">
      <x:c r="A58" s="2"/>
      <x:c r="B58" s="2"/>
      <x:c r="C58" s="2"/>
      <x:c r="D58" s="3"/>
      <x:c r="E58" s="3"/>
      <x:c r="F58" s="3"/>
      <x:c r="G58" s="3"/>
    </x:row>
    <x:row r="59" ht="23" customHeight="1">
      <x:c r="A59" s="2"/>
      <x:c r="B59" s="2"/>
      <x:c r="C59" s="2"/>
      <x:c r="D59" s="3"/>
      <x:c r="E59" s="3"/>
      <x:c r="F59" s="3"/>
      <x:c r="G59" s="3"/>
    </x:row>
    <x:row r="60" ht="23" customHeight="1">
      <x:c r="A60" s="2"/>
      <x:c r="B60" s="2"/>
      <x:c r="C60" s="2"/>
      <x:c r="D60" s="3"/>
      <x:c r="E60" s="3"/>
      <x:c r="F60" s="3"/>
      <x:c r="G60" s="3"/>
    </x:row>
  </x:sheetData>
  <x:pageMargins left="0.7" right="0.7" top="0.75" bottom="0.75" header="0.3" footer="0.3"/>
</x:worksheet>
</file>